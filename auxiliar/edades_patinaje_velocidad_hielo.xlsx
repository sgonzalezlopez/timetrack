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jmor\Downloads\"/>
    </mc:Choice>
  </mc:AlternateContent>
  <xr:revisionPtr revIDLastSave="0" documentId="8_{40DCFB5A-D5EE-4E79-B165-81D4A322502C}" xr6:coauthVersionLast="47" xr6:coauthVersionMax="47" xr10:uidLastSave="{00000000-0000-0000-0000-000000000000}"/>
  <bookViews>
    <workbookView xWindow="-93" yWindow="-93" windowWidth="25786" windowHeight="14586" firstSheet="8" activeTab="8" xr2:uid="{00000000-000D-0000-FFFF-FFFF00000000}"/>
  </bookViews>
  <sheets>
    <sheet name="Tabla_records" sheetId="12" state="hidden" r:id="rId1"/>
    <sheet name="Competición más reciente" sheetId="14" state="hidden" r:id="rId2"/>
    <sheet name="Última carrera por temporada" sheetId="16" state="hidden" r:id="rId3"/>
    <sheet name="Letra Inicial" sheetId="21" state="hidden" r:id="rId4"/>
    <sheet name="Pistas" sheetId="27" state="hidden" r:id="rId5"/>
    <sheet name="Categorías_SP" sheetId="28" state="hidden" r:id="rId6"/>
    <sheet name="Categorías" sheetId="29" state="hidden" r:id="rId7"/>
    <sheet name="Distancias" sheetId="31" state="hidden" r:id="rId8"/>
    <sheet name="Edades" sheetId="32" r:id="rId9"/>
  </sheets>
  <calcPr calcId="191029"/>
  <fileRecoveryPr repairLoad="1"/>
</workbook>
</file>

<file path=xl/calcChain.xml><?xml version="1.0" encoding="utf-8"?>
<calcChain xmlns="http://schemas.openxmlformats.org/spreadsheetml/2006/main">
  <c r="B11" i="29" l="1"/>
  <c r="B10" i="29"/>
  <c r="B9" i="29"/>
  <c r="B8" i="29"/>
  <c r="B7" i="29"/>
  <c r="B6" i="29"/>
  <c r="B5" i="29"/>
  <c r="B4" i="29"/>
  <c r="B3" i="29"/>
  <c r="B2" i="29"/>
  <c r="J300" i="16" a="1"/>
  <c r="J300" i="16" s="1"/>
  <c r="J299" i="16" a="1"/>
  <c r="J299" i="16" s="1"/>
  <c r="J298" i="16" a="1"/>
  <c r="J298" i="16" s="1"/>
  <c r="J297" i="16" a="1"/>
  <c r="J297" i="16" s="1"/>
  <c r="J296" i="16" a="1"/>
  <c r="J296" i="16" s="1"/>
  <c r="J295" i="16" a="1"/>
  <c r="J295" i="16" s="1"/>
  <c r="J294" i="16" a="1"/>
  <c r="J294" i="16"/>
  <c r="J293" i="16" a="1"/>
  <c r="J293" i="16" s="1"/>
  <c r="J292" i="16" a="1"/>
  <c r="J292" i="16" s="1"/>
  <c r="J291" i="16" a="1"/>
  <c r="J291" i="16" s="1"/>
  <c r="J290" i="16" a="1"/>
  <c r="J290" i="16" s="1"/>
  <c r="J289" i="16" a="1"/>
  <c r="J289" i="16" s="1"/>
  <c r="J288" i="16" a="1"/>
  <c r="J288" i="16" s="1"/>
  <c r="J287" i="16" a="1"/>
  <c r="J287" i="16" s="1"/>
  <c r="J286" i="16" a="1"/>
  <c r="J286" i="16"/>
  <c r="J285" i="16" a="1"/>
  <c r="J285" i="16" s="1"/>
  <c r="J284" i="16" a="1"/>
  <c r="J284" i="16" s="1"/>
  <c r="J283" i="16" a="1"/>
  <c r="J283" i="16"/>
  <c r="J282" i="16" a="1"/>
  <c r="J282" i="16"/>
  <c r="J281" i="16" a="1"/>
  <c r="J281" i="16" s="1"/>
  <c r="J280" i="16" a="1"/>
  <c r="J280" i="16" s="1"/>
  <c r="J279" i="16" a="1"/>
  <c r="J279" i="16" s="1"/>
  <c r="J278" i="16" a="1"/>
  <c r="J278" i="16"/>
  <c r="J277" i="16" a="1"/>
  <c r="J277" i="16"/>
  <c r="J276" i="16" a="1"/>
  <c r="J276" i="16" s="1"/>
  <c r="J275" i="16" a="1"/>
  <c r="J275" i="16" s="1"/>
  <c r="J274" i="16" a="1"/>
  <c r="J274" i="16"/>
  <c r="J273" i="16" a="1"/>
  <c r="J273" i="16" s="1"/>
  <c r="J272" i="16" a="1"/>
  <c r="J272" i="16" s="1"/>
  <c r="J271" i="16" a="1"/>
  <c r="J271" i="16" s="1"/>
  <c r="J270" i="16" a="1"/>
  <c r="J270" i="16"/>
  <c r="J269" i="16" a="1"/>
  <c r="J269" i="16" s="1"/>
  <c r="J268" i="16" a="1"/>
  <c r="J268" i="16" s="1"/>
  <c r="J267" i="16" a="1"/>
  <c r="J267" i="16" s="1"/>
  <c r="J266" i="16" a="1"/>
  <c r="J266" i="16" s="1"/>
  <c r="J265" i="16" a="1"/>
  <c r="J265" i="16" s="1"/>
  <c r="J264" i="16" a="1"/>
  <c r="J264" i="16" s="1"/>
  <c r="J263" i="16" a="1"/>
  <c r="J263" i="16" s="1"/>
  <c r="J262" i="16" a="1"/>
  <c r="J262" i="16"/>
  <c r="J261" i="16" a="1"/>
  <c r="J261" i="16" s="1"/>
  <c r="J260" i="16" a="1"/>
  <c r="J260" i="16" s="1"/>
  <c r="J259" i="16" a="1"/>
  <c r="J259" i="16" s="1"/>
  <c r="J258" i="16" a="1"/>
  <c r="J258" i="16" s="1"/>
  <c r="J257" i="16" a="1"/>
  <c r="J257" i="16" s="1"/>
  <c r="J256" i="16" a="1"/>
  <c r="J256" i="16" s="1"/>
  <c r="J255" i="16" a="1"/>
  <c r="J255" i="16" s="1"/>
  <c r="J254" i="16" a="1"/>
  <c r="J254" i="16"/>
  <c r="J253" i="16" a="1"/>
  <c r="J253" i="16" s="1"/>
  <c r="J252" i="16" a="1"/>
  <c r="J252" i="16" s="1"/>
  <c r="J251" i="16" a="1"/>
  <c r="J251" i="16"/>
  <c r="J250" i="16" a="1"/>
  <c r="J250" i="16"/>
  <c r="J249" i="16" a="1"/>
  <c r="J249" i="16" s="1"/>
  <c r="J248" i="16" a="1"/>
  <c r="J248" i="16" s="1"/>
  <c r="J247" i="16" a="1"/>
  <c r="J247" i="16" s="1"/>
  <c r="J246" i="16" a="1"/>
  <c r="J246" i="16" s="1"/>
  <c r="J245" i="16" a="1"/>
  <c r="J245" i="16"/>
  <c r="J244" i="16" a="1"/>
  <c r="J244" i="16" s="1"/>
  <c r="J243" i="16" a="1"/>
  <c r="J243" i="16" s="1"/>
  <c r="J242" i="16" a="1"/>
  <c r="J242" i="16"/>
  <c r="J241" i="16" a="1"/>
  <c r="J241" i="16" s="1"/>
  <c r="J240" i="16" a="1"/>
  <c r="J240" i="16" s="1"/>
  <c r="J239" i="16" a="1"/>
  <c r="J239" i="16" s="1"/>
  <c r="J238" i="16" a="1"/>
  <c r="J238" i="16"/>
  <c r="J237" i="16" a="1"/>
  <c r="J237" i="16"/>
  <c r="J236" i="16" a="1"/>
  <c r="J236" i="16" s="1"/>
  <c r="J235" i="16" a="1"/>
  <c r="J235" i="16" s="1"/>
  <c r="J234" i="16" a="1"/>
  <c r="J234" i="16" s="1"/>
  <c r="J233" i="16" a="1"/>
  <c r="J233" i="16" s="1"/>
  <c r="J232" i="16" a="1"/>
  <c r="J232" i="16" s="1"/>
  <c r="J231" i="16" a="1"/>
  <c r="J231" i="16" s="1"/>
  <c r="J230" i="16" a="1"/>
  <c r="J230" i="16"/>
  <c r="J229" i="16" a="1"/>
  <c r="J229" i="16" s="1"/>
  <c r="J228" i="16" a="1"/>
  <c r="J228" i="16" s="1"/>
  <c r="J227" i="16" a="1"/>
  <c r="J227" i="16" s="1"/>
  <c r="J226" i="16" a="1"/>
  <c r="J226" i="16" s="1"/>
  <c r="J225" i="16" a="1"/>
  <c r="J225" i="16" s="1"/>
  <c r="I225" i="16" a="1"/>
  <c r="I225" i="16" s="1"/>
  <c r="H225" i="16"/>
  <c r="G225" i="16" a="1"/>
  <c r="G225" i="16" s="1"/>
  <c r="F225" i="16"/>
  <c r="J224" i="16" a="1"/>
  <c r="J224" i="16" s="1"/>
  <c r="I224" i="16" a="1"/>
  <c r="I224" i="16" s="1"/>
  <c r="H224" i="16"/>
  <c r="G224" i="16" a="1"/>
  <c r="G224" i="16" s="1"/>
  <c r="F224" i="16"/>
  <c r="J223" i="16" a="1"/>
  <c r="J223" i="16" s="1"/>
  <c r="I223" i="16" a="1"/>
  <c r="I223" i="16" s="1"/>
  <c r="H223" i="16"/>
  <c r="G223" i="16" a="1"/>
  <c r="G223" i="16" s="1"/>
  <c r="F223" i="16"/>
  <c r="J222" i="16" a="1"/>
  <c r="J222" i="16" s="1"/>
  <c r="I222" i="16" a="1"/>
  <c r="I222" i="16" s="1"/>
  <c r="H222" i="16"/>
  <c r="G222" i="16" a="1"/>
  <c r="G222" i="16" s="1"/>
  <c r="F222" i="16"/>
  <c r="J221" i="16" a="1"/>
  <c r="J221" i="16" s="1"/>
  <c r="I221" i="16" a="1"/>
  <c r="I221" i="16" s="1"/>
  <c r="H221" i="16"/>
  <c r="G221" i="16" a="1"/>
  <c r="G221" i="16" s="1"/>
  <c r="F221" i="16"/>
  <c r="J220" i="16" a="1"/>
  <c r="J220" i="16" s="1"/>
  <c r="I220" i="16" a="1"/>
  <c r="I220" i="16" s="1"/>
  <c r="H220" i="16"/>
  <c r="G220" i="16" a="1"/>
  <c r="G220" i="16" s="1"/>
  <c r="F220" i="16"/>
  <c r="J219" i="16" a="1"/>
  <c r="J219" i="16" s="1"/>
  <c r="I219" i="16" a="1"/>
  <c r="I219" i="16" s="1"/>
  <c r="H219" i="16"/>
  <c r="G219" i="16" a="1"/>
  <c r="G219" i="16" s="1"/>
  <c r="F219" i="16"/>
  <c r="J218" i="16" a="1"/>
  <c r="J218" i="16" s="1"/>
  <c r="I218" i="16" a="1"/>
  <c r="I218" i="16" s="1"/>
  <c r="H218" i="16"/>
  <c r="G218" i="16" a="1"/>
  <c r="G218" i="16"/>
  <c r="F218" i="16"/>
  <c r="J217" i="16" a="1"/>
  <c r="J217" i="16" s="1"/>
  <c r="I217" i="16" a="1"/>
  <c r="I217" i="16" s="1"/>
  <c r="H217" i="16"/>
  <c r="G217" i="16" a="1"/>
  <c r="G217" i="16" s="1"/>
  <c r="F217" i="16"/>
  <c r="J216" i="16" a="1"/>
  <c r="J216" i="16" s="1"/>
  <c r="I216" i="16" a="1"/>
  <c r="I216" i="16" s="1"/>
  <c r="H216" i="16"/>
  <c r="G216" i="16" a="1"/>
  <c r="G216" i="16" s="1"/>
  <c r="F216" i="16"/>
  <c r="J215" i="16" a="1"/>
  <c r="J215" i="16" s="1"/>
  <c r="I215" i="16" a="1"/>
  <c r="I215" i="16" s="1"/>
  <c r="H215" i="16"/>
  <c r="G215" i="16" a="1"/>
  <c r="G215" i="16"/>
  <c r="F215" i="16"/>
  <c r="J214" i="16" a="1"/>
  <c r="J214" i="16"/>
  <c r="I214" i="16" a="1"/>
  <c r="I214" i="16" s="1"/>
  <c r="H214" i="16"/>
  <c r="G214" i="16" a="1"/>
  <c r="G214" i="16" s="1"/>
  <c r="F214" i="16"/>
  <c r="J213" i="16" a="1"/>
  <c r="J213" i="16" s="1"/>
  <c r="I213" i="16" a="1"/>
  <c r="I213" i="16" s="1"/>
  <c r="H213" i="16"/>
  <c r="G213" i="16" a="1"/>
  <c r="G213" i="16"/>
  <c r="F213" i="16"/>
  <c r="J212" i="16" a="1"/>
  <c r="J212" i="16" s="1"/>
  <c r="I212" i="16" a="1"/>
  <c r="I212" i="16" s="1"/>
  <c r="H212" i="16"/>
  <c r="G212" i="16" a="1"/>
  <c r="G212" i="16"/>
  <c r="F212" i="16"/>
  <c r="J211" i="16" a="1"/>
  <c r="J211" i="16" s="1"/>
  <c r="I211" i="16" a="1"/>
  <c r="I211" i="16" s="1"/>
  <c r="H211" i="16"/>
  <c r="G211" i="16" a="1"/>
  <c r="G211" i="16" s="1"/>
  <c r="F211" i="16"/>
  <c r="J210" i="16" a="1"/>
  <c r="J210" i="16" s="1"/>
  <c r="I210" i="16" a="1"/>
  <c r="I210" i="16" s="1"/>
  <c r="H210" i="16"/>
  <c r="G210" i="16" a="1"/>
  <c r="G210" i="16" s="1"/>
  <c r="F210" i="16"/>
  <c r="J209" i="16" a="1"/>
  <c r="J209" i="16" s="1"/>
  <c r="I209" i="16" a="1"/>
  <c r="I209" i="16" s="1"/>
  <c r="H209" i="16"/>
  <c r="G209" i="16" a="1"/>
  <c r="G209" i="16" s="1"/>
  <c r="F209" i="16"/>
  <c r="J208" i="16" a="1"/>
  <c r="J208" i="16" s="1"/>
  <c r="I208" i="16" a="1"/>
  <c r="I208" i="16" s="1"/>
  <c r="H208" i="16"/>
  <c r="G208" i="16" a="1"/>
  <c r="G208" i="16" s="1"/>
  <c r="F208" i="16"/>
  <c r="J207" i="16" a="1"/>
  <c r="J207" i="16" s="1"/>
  <c r="I207" i="16" a="1"/>
  <c r="I207" i="16" s="1"/>
  <c r="H207" i="16"/>
  <c r="G207" i="16" a="1"/>
  <c r="G207" i="16"/>
  <c r="F207" i="16"/>
  <c r="J206" i="16" a="1"/>
  <c r="J206" i="16"/>
  <c r="I206" i="16" a="1"/>
  <c r="I206" i="16" s="1"/>
  <c r="H206" i="16"/>
  <c r="G206" i="16" a="1"/>
  <c r="G206" i="16" s="1"/>
  <c r="F206" i="16"/>
  <c r="J205" i="16" a="1"/>
  <c r="J205" i="16" s="1"/>
  <c r="I205" i="16" a="1"/>
  <c r="I205" i="16" s="1"/>
  <c r="H205" i="16"/>
  <c r="G205" i="16" a="1"/>
  <c r="G205" i="16" s="1"/>
  <c r="F205" i="16"/>
  <c r="J204" i="16" a="1"/>
  <c r="J204" i="16" s="1"/>
  <c r="I204" i="16" a="1"/>
  <c r="I204" i="16" s="1"/>
  <c r="H204" i="16"/>
  <c r="G204" i="16" a="1"/>
  <c r="G204" i="16" s="1"/>
  <c r="F204" i="16"/>
  <c r="J203" i="16" a="1"/>
  <c r="J203" i="16" s="1"/>
  <c r="I203" i="16" a="1"/>
  <c r="I203" i="16" s="1"/>
  <c r="H203" i="16"/>
  <c r="G203" i="16" a="1"/>
  <c r="G203" i="16" s="1"/>
  <c r="F203" i="16"/>
  <c r="J202" i="16" a="1"/>
  <c r="J202" i="16" s="1"/>
  <c r="I202" i="16" a="1"/>
  <c r="I202" i="16" s="1"/>
  <c r="H202" i="16"/>
  <c r="G202" i="16" a="1"/>
  <c r="G202" i="16" s="1"/>
  <c r="F202" i="16"/>
  <c r="J201" i="16" a="1"/>
  <c r="J201" i="16" s="1"/>
  <c r="I201" i="16" a="1"/>
  <c r="I201" i="16" s="1"/>
  <c r="H201" i="16"/>
  <c r="G201" i="16" a="1"/>
  <c r="G201" i="16" s="1"/>
  <c r="F201" i="16"/>
  <c r="J200" i="16" a="1"/>
  <c r="J200" i="16" s="1"/>
  <c r="I200" i="16" a="1"/>
  <c r="I200" i="16" s="1"/>
  <c r="H200" i="16"/>
  <c r="G200" i="16" a="1"/>
  <c r="G200" i="16"/>
  <c r="F200" i="16"/>
  <c r="J199" i="16" a="1"/>
  <c r="J199" i="16" s="1"/>
  <c r="I199" i="16" a="1"/>
  <c r="I199" i="16" s="1"/>
  <c r="H199" i="16"/>
  <c r="G199" i="16" a="1"/>
  <c r="G199" i="16" s="1"/>
  <c r="F199" i="16"/>
  <c r="J198" i="16" a="1"/>
  <c r="J198" i="16" s="1"/>
  <c r="I198" i="16" a="1"/>
  <c r="I198" i="16" s="1"/>
  <c r="H198" i="16"/>
  <c r="G198" i="16" a="1"/>
  <c r="G198" i="16"/>
  <c r="F198" i="16"/>
  <c r="J197" i="16" a="1"/>
  <c r="J197" i="16" s="1"/>
  <c r="I197" i="16" a="1"/>
  <c r="I197" i="16" s="1"/>
  <c r="H197" i="16"/>
  <c r="G197" i="16" a="1"/>
  <c r="G197" i="16" s="1"/>
  <c r="F197" i="16"/>
  <c r="J196" i="16" a="1"/>
  <c r="J196" i="16" s="1"/>
  <c r="I196" i="16" a="1"/>
  <c r="I196" i="16" s="1"/>
  <c r="H196" i="16"/>
  <c r="G196" i="16" a="1"/>
  <c r="G196" i="16" s="1"/>
  <c r="F196" i="16"/>
  <c r="J195" i="16" a="1"/>
  <c r="J195" i="16" s="1"/>
  <c r="I195" i="16" a="1"/>
  <c r="I195" i="16" s="1"/>
  <c r="H195" i="16"/>
  <c r="G195" i="16" a="1"/>
  <c r="G195" i="16" s="1"/>
  <c r="F195" i="16"/>
  <c r="J194" i="16" a="1"/>
  <c r="J194" i="16" s="1"/>
  <c r="I194" i="16" a="1"/>
  <c r="I194" i="16" s="1"/>
  <c r="H194" i="16"/>
  <c r="G194" i="16" a="1"/>
  <c r="G194" i="16"/>
  <c r="F194" i="16"/>
  <c r="J193" i="16" a="1"/>
  <c r="J193" i="16" s="1"/>
  <c r="I193" i="16" a="1"/>
  <c r="I193" i="16" s="1"/>
  <c r="H193" i="16"/>
  <c r="G193" i="16" a="1"/>
  <c r="G193" i="16" s="1"/>
  <c r="F193" i="16"/>
  <c r="J192" i="16" a="1"/>
  <c r="J192" i="16"/>
  <c r="I192" i="16" a="1"/>
  <c r="I192" i="16" s="1"/>
  <c r="H192" i="16"/>
  <c r="G192" i="16" a="1"/>
  <c r="G192" i="16" s="1"/>
  <c r="F192" i="16"/>
  <c r="J191" i="16" a="1"/>
  <c r="J191" i="16" s="1"/>
  <c r="I191" i="16" a="1"/>
  <c r="I191" i="16" s="1"/>
  <c r="H191" i="16"/>
  <c r="G191" i="16" a="1"/>
  <c r="G191" i="16" s="1"/>
  <c r="F191" i="16"/>
  <c r="J190" i="16" a="1"/>
  <c r="J190" i="16"/>
  <c r="I190" i="16" a="1"/>
  <c r="I190" i="16" s="1"/>
  <c r="H190" i="16"/>
  <c r="G190" i="16" a="1"/>
  <c r="G190" i="16"/>
  <c r="F190" i="16"/>
  <c r="J189" i="16" a="1"/>
  <c r="J189" i="16" s="1"/>
  <c r="I189" i="16" a="1"/>
  <c r="I189" i="16" s="1"/>
  <c r="H189" i="16"/>
  <c r="G189" i="16" a="1"/>
  <c r="G189" i="16" s="1"/>
  <c r="F189" i="16"/>
  <c r="J188" i="16" a="1"/>
  <c r="J188" i="16" s="1"/>
  <c r="I188" i="16" a="1"/>
  <c r="I188" i="16" s="1"/>
  <c r="H188" i="16"/>
  <c r="G188" i="16" a="1"/>
  <c r="G188" i="16" s="1"/>
  <c r="F188" i="16"/>
  <c r="J187" i="16" a="1"/>
  <c r="J187" i="16" s="1"/>
  <c r="I187" i="16" a="1"/>
  <c r="I187" i="16" s="1"/>
  <c r="H187" i="16"/>
  <c r="G187" i="16" a="1"/>
  <c r="G187" i="16"/>
  <c r="F187" i="16"/>
  <c r="J186" i="16" a="1"/>
  <c r="J186" i="16" s="1"/>
  <c r="I186" i="16" a="1"/>
  <c r="I186" i="16" s="1"/>
  <c r="H186" i="16"/>
  <c r="G186" i="16" a="1"/>
  <c r="G186" i="16" s="1"/>
  <c r="F186" i="16"/>
  <c r="J185" i="16" a="1"/>
  <c r="J185" i="16" s="1"/>
  <c r="I185" i="16" a="1"/>
  <c r="I185" i="16" s="1"/>
  <c r="H185" i="16"/>
  <c r="G185" i="16" a="1"/>
  <c r="G185" i="16"/>
  <c r="F185" i="16"/>
  <c r="J184" i="16" a="1"/>
  <c r="J184" i="16"/>
  <c r="I184" i="16" a="1"/>
  <c r="I184" i="16" s="1"/>
  <c r="H184" i="16"/>
  <c r="G184" i="16" a="1"/>
  <c r="G184" i="16" s="1"/>
  <c r="F184" i="16"/>
  <c r="J183" i="16" a="1"/>
  <c r="J183" i="16" s="1"/>
  <c r="I183" i="16" a="1"/>
  <c r="I183" i="16" s="1"/>
  <c r="H183" i="16"/>
  <c r="G183" i="16" a="1"/>
  <c r="G183" i="16" s="1"/>
  <c r="F183" i="16"/>
  <c r="J182" i="16" a="1"/>
  <c r="J182" i="16"/>
  <c r="I182" i="16" a="1"/>
  <c r="I182" i="16" s="1"/>
  <c r="H182" i="16"/>
  <c r="G182" i="16" a="1"/>
  <c r="G182" i="16" s="1"/>
  <c r="F182" i="16"/>
  <c r="J181" i="16" a="1"/>
  <c r="J181" i="16" s="1"/>
  <c r="I181" i="16" a="1"/>
  <c r="I181" i="16" s="1"/>
  <c r="H181" i="16"/>
  <c r="G181" i="16" a="1"/>
  <c r="G181" i="16" s="1"/>
  <c r="F181" i="16"/>
  <c r="J180" i="16" a="1"/>
  <c r="J180" i="16" s="1"/>
  <c r="I180" i="16" a="1"/>
  <c r="I180" i="16" s="1"/>
  <c r="H180" i="16"/>
  <c r="G180" i="16" a="1"/>
  <c r="G180" i="16" s="1"/>
  <c r="F180" i="16"/>
  <c r="J179" i="16" a="1"/>
  <c r="J179" i="16" s="1"/>
  <c r="I179" i="16" a="1"/>
  <c r="I179" i="16" s="1"/>
  <c r="H179" i="16"/>
  <c r="G179" i="16" a="1"/>
  <c r="G179" i="16" s="1"/>
  <c r="F179" i="16"/>
  <c r="J178" i="16" a="1"/>
  <c r="J178" i="16" s="1"/>
  <c r="I178" i="16" a="1"/>
  <c r="I178" i="16" s="1"/>
  <c r="H178" i="16"/>
  <c r="G178" i="16" a="1"/>
  <c r="G178" i="16"/>
  <c r="F178" i="16"/>
  <c r="J177" i="16" a="1"/>
  <c r="J177" i="16" s="1"/>
  <c r="I177" i="16" a="1"/>
  <c r="I177" i="16" s="1"/>
  <c r="H177" i="16"/>
  <c r="G177" i="16" a="1"/>
  <c r="G177" i="16" s="1"/>
  <c r="F177" i="16"/>
  <c r="J176" i="16" a="1"/>
  <c r="J176" i="16" s="1"/>
  <c r="I176" i="16" a="1"/>
  <c r="I176" i="16"/>
  <c r="H176" i="16"/>
  <c r="G176" i="16" a="1"/>
  <c r="G176" i="16" s="1"/>
  <c r="F176" i="16"/>
  <c r="J175" i="16" a="1"/>
  <c r="J175" i="16" s="1"/>
  <c r="I175" i="16" a="1"/>
  <c r="I175" i="16" s="1"/>
  <c r="H175" i="16"/>
  <c r="G175" i="16" a="1"/>
  <c r="G175" i="16" s="1"/>
  <c r="F175" i="16"/>
  <c r="J174" i="16" a="1"/>
  <c r="J174" i="16" s="1"/>
  <c r="I174" i="16" a="1"/>
  <c r="I174" i="16" s="1"/>
  <c r="H174" i="16"/>
  <c r="G174" i="16" a="1"/>
  <c r="G174" i="16"/>
  <c r="F174" i="16"/>
  <c r="J173" i="16" a="1"/>
  <c r="J173" i="16" s="1"/>
  <c r="I173" i="16" a="1"/>
  <c r="I173" i="16" s="1"/>
  <c r="H173" i="16"/>
  <c r="G173" i="16" a="1"/>
  <c r="G173" i="16"/>
  <c r="F173" i="16"/>
  <c r="J172" i="16" a="1"/>
  <c r="J172" i="16" s="1"/>
  <c r="I172" i="16" a="1"/>
  <c r="I172" i="16" s="1"/>
  <c r="H172" i="16"/>
  <c r="G172" i="16" a="1"/>
  <c r="G172" i="16" s="1"/>
  <c r="F172" i="16"/>
  <c r="J171" i="16" a="1"/>
  <c r="J171" i="16" s="1"/>
  <c r="I171" i="16" a="1"/>
  <c r="I171" i="16" s="1"/>
  <c r="H171" i="16"/>
  <c r="G171" i="16" a="1"/>
  <c r="G171" i="16" s="1"/>
  <c r="F171" i="16"/>
  <c r="J170" i="16" a="1"/>
  <c r="J170" i="16" s="1"/>
  <c r="I170" i="16" a="1"/>
  <c r="I170" i="16" s="1"/>
  <c r="H170" i="16"/>
  <c r="G170" i="16" a="1"/>
  <c r="G170" i="16" s="1"/>
  <c r="F170" i="16"/>
  <c r="J169" i="16" a="1"/>
  <c r="J169" i="16" s="1"/>
  <c r="I169" i="16" a="1"/>
  <c r="I169" i="16" s="1"/>
  <c r="H169" i="16"/>
  <c r="G169" i="16" a="1"/>
  <c r="G169" i="16" s="1"/>
  <c r="F169" i="16"/>
  <c r="J168" i="16" a="1"/>
  <c r="J168" i="16"/>
  <c r="I168" i="16" a="1"/>
  <c r="I168" i="16" s="1"/>
  <c r="H168" i="16"/>
  <c r="G168" i="16" a="1"/>
  <c r="G168" i="16" s="1"/>
  <c r="F168" i="16"/>
  <c r="J167" i="16" a="1"/>
  <c r="J167" i="16" s="1"/>
  <c r="I167" i="16" a="1"/>
  <c r="I167" i="16" s="1"/>
  <c r="H167" i="16"/>
  <c r="G167" i="16" a="1"/>
  <c r="G167" i="16" s="1"/>
  <c r="F167" i="16"/>
  <c r="J166" i="16" a="1"/>
  <c r="J166" i="16" s="1"/>
  <c r="I166" i="16" a="1"/>
  <c r="I166" i="16" s="1"/>
  <c r="H166" i="16"/>
  <c r="G166" i="16" a="1"/>
  <c r="G166" i="16" s="1"/>
  <c r="F166" i="16"/>
  <c r="J165" i="16" a="1"/>
  <c r="J165" i="16" s="1"/>
  <c r="I165" i="16" a="1"/>
  <c r="I165" i="16" s="1"/>
  <c r="H165" i="16"/>
  <c r="G165" i="16" a="1"/>
  <c r="G165" i="16" s="1"/>
  <c r="F165" i="16"/>
  <c r="J164" i="16" a="1"/>
  <c r="J164" i="16"/>
  <c r="I164" i="16" a="1"/>
  <c r="I164" i="16" s="1"/>
  <c r="H164" i="16"/>
  <c r="G164" i="16" a="1"/>
  <c r="G164" i="16" s="1"/>
  <c r="F164" i="16"/>
  <c r="J163" i="16" a="1"/>
  <c r="J163" i="16" s="1"/>
  <c r="I163" i="16" a="1"/>
  <c r="I163" i="16" s="1"/>
  <c r="H163" i="16"/>
  <c r="G163" i="16" a="1"/>
  <c r="G163" i="16" s="1"/>
  <c r="F163" i="16"/>
  <c r="J162" i="16" a="1"/>
  <c r="J162" i="16"/>
  <c r="I162" i="16" a="1"/>
  <c r="I162" i="16"/>
  <c r="H162" i="16"/>
  <c r="G162" i="16" a="1"/>
  <c r="G162" i="16" s="1"/>
  <c r="F162" i="16"/>
  <c r="J161" i="16" a="1"/>
  <c r="J161" i="16" s="1"/>
  <c r="I161" i="16" a="1"/>
  <c r="I161" i="16" s="1"/>
  <c r="H161" i="16"/>
  <c r="G161" i="16" a="1"/>
  <c r="G161" i="16"/>
  <c r="F161" i="16"/>
  <c r="J160" i="16" a="1"/>
  <c r="J160" i="16" s="1"/>
  <c r="I160" i="16" a="1"/>
  <c r="I160" i="16" s="1"/>
  <c r="H160" i="16"/>
  <c r="G160" i="16" a="1"/>
  <c r="G160" i="16" s="1"/>
  <c r="F160" i="16"/>
  <c r="J159" i="16" a="1"/>
  <c r="J159" i="16" s="1"/>
  <c r="I159" i="16" a="1"/>
  <c r="I159" i="16" s="1"/>
  <c r="H159" i="16"/>
  <c r="G159" i="16" a="1"/>
  <c r="G159" i="16"/>
  <c r="F159" i="16"/>
  <c r="J158" i="16" a="1"/>
  <c r="J158" i="16" s="1"/>
  <c r="I158" i="16" a="1"/>
  <c r="I158" i="16" s="1"/>
  <c r="H158" i="16"/>
  <c r="G158" i="16" a="1"/>
  <c r="G158" i="16" s="1"/>
  <c r="F158" i="16"/>
  <c r="J157" i="16" a="1"/>
  <c r="J157" i="16" s="1"/>
  <c r="I157" i="16" a="1"/>
  <c r="I157" i="16" s="1"/>
  <c r="H157" i="16"/>
  <c r="G157" i="16" a="1"/>
  <c r="G157" i="16" s="1"/>
  <c r="F157" i="16"/>
  <c r="J156" i="16" a="1"/>
  <c r="J156" i="16" s="1"/>
  <c r="I156" i="16" a="1"/>
  <c r="I156" i="16" s="1"/>
  <c r="H156" i="16"/>
  <c r="G156" i="16" a="1"/>
  <c r="G156" i="16" s="1"/>
  <c r="F156" i="16"/>
  <c r="J155" i="16" a="1"/>
  <c r="J155" i="16" s="1"/>
  <c r="I155" i="16" a="1"/>
  <c r="I155" i="16" s="1"/>
  <c r="H155" i="16"/>
  <c r="G155" i="16" a="1"/>
  <c r="G155" i="16" s="1"/>
  <c r="F155" i="16"/>
  <c r="J154" i="16" a="1"/>
  <c r="J154" i="16" s="1"/>
  <c r="I154" i="16" a="1"/>
  <c r="I154" i="16" s="1"/>
  <c r="H154" i="16"/>
  <c r="G154" i="16" a="1"/>
  <c r="G154" i="16" s="1"/>
  <c r="F154" i="16"/>
  <c r="J153" i="16" a="1"/>
  <c r="J153" i="16" s="1"/>
  <c r="I153" i="16" a="1"/>
  <c r="I153" i="16" s="1"/>
  <c r="H153" i="16"/>
  <c r="G153" i="16" a="1"/>
  <c r="G153" i="16" s="1"/>
  <c r="F153" i="16"/>
  <c r="J152" i="16" a="1"/>
  <c r="J152" i="16" s="1"/>
  <c r="I152" i="16" a="1"/>
  <c r="I152" i="16" s="1"/>
  <c r="H152" i="16"/>
  <c r="G152" i="16" a="1"/>
  <c r="G152" i="16" s="1"/>
  <c r="F152" i="16"/>
  <c r="J151" i="16" a="1"/>
  <c r="J151" i="16" s="1"/>
  <c r="I151" i="16" a="1"/>
  <c r="I151" i="16" s="1"/>
  <c r="H151" i="16"/>
  <c r="G151" i="16" a="1"/>
  <c r="G151" i="16" s="1"/>
  <c r="F151" i="16"/>
  <c r="J150" i="16" a="1"/>
  <c r="J150" i="16" s="1"/>
  <c r="I150" i="16" a="1"/>
  <c r="I150" i="16" s="1"/>
  <c r="H150" i="16"/>
  <c r="G150" i="16" a="1"/>
  <c r="G150" i="16" s="1"/>
  <c r="F150" i="16"/>
  <c r="J149" i="16" a="1"/>
  <c r="J149" i="16" s="1"/>
  <c r="I149" i="16" a="1"/>
  <c r="I149" i="16" s="1"/>
  <c r="H149" i="16"/>
  <c r="G149" i="16" a="1"/>
  <c r="G149" i="16" s="1"/>
  <c r="F149" i="16"/>
  <c r="J148" i="16" a="1"/>
  <c r="J148" i="16" s="1"/>
  <c r="I148" i="16" a="1"/>
  <c r="I148" i="16" s="1"/>
  <c r="H148" i="16"/>
  <c r="G148" i="16" a="1"/>
  <c r="G148" i="16"/>
  <c r="F148" i="16"/>
  <c r="J147" i="16" a="1"/>
  <c r="J147" i="16" s="1"/>
  <c r="I147" i="16" a="1"/>
  <c r="I147" i="16"/>
  <c r="H147" i="16"/>
  <c r="G147" i="16" a="1"/>
  <c r="G147" i="16" s="1"/>
  <c r="F147" i="16"/>
  <c r="J146" i="16" a="1"/>
  <c r="J146" i="16" s="1"/>
  <c r="I146" i="16" a="1"/>
  <c r="I146" i="16" s="1"/>
  <c r="H146" i="16"/>
  <c r="G146" i="16" a="1"/>
  <c r="G146" i="16"/>
  <c r="F146" i="16"/>
  <c r="J145" i="16" a="1"/>
  <c r="J145" i="16" s="1"/>
  <c r="I145" i="16" a="1"/>
  <c r="I145" i="16"/>
  <c r="H145" i="16"/>
  <c r="G145" i="16" a="1"/>
  <c r="G145" i="16" s="1"/>
  <c r="F145" i="16"/>
  <c r="J144" i="16" a="1"/>
  <c r="J144" i="16"/>
  <c r="I144" i="16" a="1"/>
  <c r="I144" i="16" s="1"/>
  <c r="H144" i="16"/>
  <c r="G144" i="16" a="1"/>
  <c r="G144" i="16"/>
  <c r="F144" i="16"/>
  <c r="J143" i="16" a="1"/>
  <c r="J143" i="16" s="1"/>
  <c r="I143" i="16" a="1"/>
  <c r="I143" i="16" s="1"/>
  <c r="H143" i="16"/>
  <c r="G143" i="16" a="1"/>
  <c r="G143" i="16" s="1"/>
  <c r="F143" i="16"/>
  <c r="J142" i="16" a="1"/>
  <c r="J142" i="16" s="1"/>
  <c r="I142" i="16" a="1"/>
  <c r="I142" i="16" s="1"/>
  <c r="H142" i="16"/>
  <c r="G142" i="16" a="1"/>
  <c r="G142" i="16"/>
  <c r="F142" i="16"/>
  <c r="J141" i="16" a="1"/>
  <c r="J141" i="16" s="1"/>
  <c r="I141" i="16" a="1"/>
  <c r="I141" i="16"/>
  <c r="H141" i="16"/>
  <c r="G141" i="16" a="1"/>
  <c r="G141" i="16" s="1"/>
  <c r="F141" i="16"/>
  <c r="J140" i="16" a="1"/>
  <c r="J140" i="16" s="1"/>
  <c r="I140" i="16" a="1"/>
  <c r="I140" i="16" s="1"/>
  <c r="H140" i="16"/>
  <c r="G140" i="16" a="1"/>
  <c r="G140" i="16" s="1"/>
  <c r="F140" i="16"/>
  <c r="J139" i="16" a="1"/>
  <c r="J139" i="16" s="1"/>
  <c r="I139" i="16" a="1"/>
  <c r="I139" i="16" s="1"/>
  <c r="H139" i="16"/>
  <c r="G139" i="16" a="1"/>
  <c r="G139" i="16" s="1"/>
  <c r="F139" i="16"/>
  <c r="J138" i="16" a="1"/>
  <c r="J138" i="16" s="1"/>
  <c r="I138" i="16" a="1"/>
  <c r="I138" i="16" s="1"/>
  <c r="H138" i="16"/>
  <c r="G138" i="16" a="1"/>
  <c r="G138" i="16"/>
  <c r="F138" i="16"/>
  <c r="J137" i="16" a="1"/>
  <c r="J137" i="16" s="1"/>
  <c r="I137" i="16" a="1"/>
  <c r="I137" i="16"/>
  <c r="H137" i="16"/>
  <c r="G137" i="16" a="1"/>
  <c r="G137" i="16" s="1"/>
  <c r="F137" i="16"/>
  <c r="J136" i="16" a="1"/>
  <c r="J136" i="16" s="1"/>
  <c r="I136" i="16" a="1"/>
  <c r="I136" i="16" s="1"/>
  <c r="H136" i="16"/>
  <c r="G136" i="16" a="1"/>
  <c r="G136" i="16"/>
  <c r="F136" i="16"/>
  <c r="J135" i="16" a="1"/>
  <c r="J135" i="16" s="1"/>
  <c r="I135" i="16" a="1"/>
  <c r="I135" i="16" s="1"/>
  <c r="H135" i="16"/>
  <c r="G135" i="16" a="1"/>
  <c r="G135" i="16" s="1"/>
  <c r="F135" i="16"/>
  <c r="J134" i="16" a="1"/>
  <c r="J134" i="16"/>
  <c r="I134" i="16" a="1"/>
  <c r="I134" i="16" s="1"/>
  <c r="H134" i="16"/>
  <c r="G134" i="16" a="1"/>
  <c r="G134" i="16"/>
  <c r="F134" i="16"/>
  <c r="J133" i="16" a="1"/>
  <c r="J133" i="16" s="1"/>
  <c r="I133" i="16" a="1"/>
  <c r="I133" i="16" s="1"/>
  <c r="H133" i="16"/>
  <c r="G133" i="16" a="1"/>
  <c r="G133" i="16" s="1"/>
  <c r="F133" i="16"/>
  <c r="J132" i="16" a="1"/>
  <c r="J132" i="16" s="1"/>
  <c r="I132" i="16" a="1"/>
  <c r="I132" i="16" s="1"/>
  <c r="H132" i="16"/>
  <c r="G132" i="16" a="1"/>
  <c r="G132" i="16" s="1"/>
  <c r="F132" i="16"/>
  <c r="J131" i="16" a="1"/>
  <c r="J131" i="16" s="1"/>
  <c r="I131" i="16" a="1"/>
  <c r="I131" i="16" s="1"/>
  <c r="H131" i="16"/>
  <c r="G131" i="16" a="1"/>
  <c r="G131" i="16" s="1"/>
  <c r="F131" i="16"/>
  <c r="J130" i="16" a="1"/>
  <c r="J130" i="16"/>
  <c r="I130" i="16" a="1"/>
  <c r="I130" i="16" s="1"/>
  <c r="H130" i="16"/>
  <c r="G130" i="16" a="1"/>
  <c r="G130" i="16"/>
  <c r="F130" i="16"/>
  <c r="J129" i="16" a="1"/>
  <c r="J129" i="16" s="1"/>
  <c r="I129" i="16" a="1"/>
  <c r="I129" i="16"/>
  <c r="H129" i="16"/>
  <c r="G129" i="16" a="1"/>
  <c r="G129" i="16" s="1"/>
  <c r="F129" i="16"/>
  <c r="J128" i="16" a="1"/>
  <c r="J128" i="16"/>
  <c r="I128" i="16" a="1"/>
  <c r="I128" i="16" s="1"/>
  <c r="H128" i="16"/>
  <c r="G128" i="16" a="1"/>
  <c r="G128" i="16" s="1"/>
  <c r="F128" i="16"/>
  <c r="J127" i="16" a="1"/>
  <c r="J127" i="16" s="1"/>
  <c r="I127" i="16" a="1"/>
  <c r="I127" i="16" s="1"/>
  <c r="H127" i="16"/>
  <c r="G127" i="16" a="1"/>
  <c r="G127" i="16" s="1"/>
  <c r="F127" i="16"/>
  <c r="J126" i="16" a="1"/>
  <c r="J126" i="16" s="1"/>
  <c r="I126" i="16" a="1"/>
  <c r="I126" i="16" s="1"/>
  <c r="H126" i="16"/>
  <c r="G126" i="16" a="1"/>
  <c r="G126" i="16"/>
  <c r="F126" i="16"/>
  <c r="J125" i="16" a="1"/>
  <c r="J125" i="16" s="1"/>
  <c r="I125" i="16" a="1"/>
  <c r="I125" i="16" s="1"/>
  <c r="H125" i="16"/>
  <c r="G125" i="16" a="1"/>
  <c r="G125" i="16" s="1"/>
  <c r="F125" i="16"/>
  <c r="J124" i="16" a="1"/>
  <c r="J124" i="16" s="1"/>
  <c r="I124" i="16" a="1"/>
  <c r="I124" i="16" s="1"/>
  <c r="H124" i="16"/>
  <c r="G124" i="16" a="1"/>
  <c r="G124" i="16" s="1"/>
  <c r="F124" i="16"/>
  <c r="J123" i="16" a="1"/>
  <c r="J123" i="16" s="1"/>
  <c r="I123" i="16" a="1"/>
  <c r="I123" i="16"/>
  <c r="H123" i="16"/>
  <c r="G123" i="16" a="1"/>
  <c r="G123" i="16" s="1"/>
  <c r="F123" i="16"/>
  <c r="J122" i="16" a="1"/>
  <c r="J122" i="16" s="1"/>
  <c r="I122" i="16" a="1"/>
  <c r="I122" i="16" s="1"/>
  <c r="H122" i="16"/>
  <c r="G122" i="16" a="1"/>
  <c r="G122" i="16" s="1"/>
  <c r="F122" i="16"/>
  <c r="J121" i="16" a="1"/>
  <c r="J121" i="16" s="1"/>
  <c r="I121" i="16" a="1"/>
  <c r="I121" i="16" s="1"/>
  <c r="H121" i="16"/>
  <c r="G121" i="16" a="1"/>
  <c r="G121" i="16" s="1"/>
  <c r="F121" i="16"/>
  <c r="J120" i="16" a="1"/>
  <c r="J120" i="16" s="1"/>
  <c r="I120" i="16" a="1"/>
  <c r="I120" i="16" s="1"/>
  <c r="H120" i="16"/>
  <c r="G120" i="16" a="1"/>
  <c r="G120" i="16" s="1"/>
  <c r="F120" i="16"/>
  <c r="J119" i="16" a="1"/>
  <c r="J119" i="16" s="1"/>
  <c r="I119" i="16" a="1"/>
  <c r="I119" i="16" s="1"/>
  <c r="H119" i="16"/>
  <c r="G119" i="16" a="1"/>
  <c r="G119" i="16" s="1"/>
  <c r="F119" i="16"/>
  <c r="J118" i="16" a="1"/>
  <c r="J118" i="16" s="1"/>
  <c r="I118" i="16" a="1"/>
  <c r="I118" i="16" s="1"/>
  <c r="H118" i="16"/>
  <c r="G118" i="16" a="1"/>
  <c r="G118" i="16"/>
  <c r="F118" i="16"/>
  <c r="J117" i="16" a="1"/>
  <c r="J117" i="16" s="1"/>
  <c r="I117" i="16" a="1"/>
  <c r="I117" i="16" s="1"/>
  <c r="H117" i="16"/>
  <c r="G117" i="16" a="1"/>
  <c r="G117" i="16" s="1"/>
  <c r="F117" i="16"/>
  <c r="J116" i="16" a="1"/>
  <c r="J116" i="16"/>
  <c r="I116" i="16" a="1"/>
  <c r="I116" i="16" s="1"/>
  <c r="H116" i="16"/>
  <c r="G116" i="16" a="1"/>
  <c r="G116" i="16"/>
  <c r="F116" i="16"/>
  <c r="J115" i="16" a="1"/>
  <c r="J115" i="16" s="1"/>
  <c r="I115" i="16" a="1"/>
  <c r="I115" i="16" s="1"/>
  <c r="H115" i="16"/>
  <c r="G115" i="16" a="1"/>
  <c r="G115" i="16" s="1"/>
  <c r="F115" i="16"/>
  <c r="J114" i="16" a="1"/>
  <c r="J114" i="16"/>
  <c r="I114" i="16" a="1"/>
  <c r="I114" i="16" s="1"/>
  <c r="H114" i="16"/>
  <c r="G114" i="16" a="1"/>
  <c r="G114" i="16" s="1"/>
  <c r="F114" i="16"/>
  <c r="J113" i="16" a="1"/>
  <c r="J113" i="16" s="1"/>
  <c r="I113" i="16" a="1"/>
  <c r="I113" i="16" s="1"/>
  <c r="H113" i="16"/>
  <c r="G113" i="16" a="1"/>
  <c r="G113" i="16" s="1"/>
  <c r="F113" i="16"/>
  <c r="J112" i="16" a="1"/>
  <c r="J112" i="16"/>
  <c r="I112" i="16" a="1"/>
  <c r="I112" i="16" s="1"/>
  <c r="H112" i="16"/>
  <c r="G112" i="16" a="1"/>
  <c r="G112" i="16" s="1"/>
  <c r="F112" i="16"/>
  <c r="J111" i="16" a="1"/>
  <c r="J111" i="16" s="1"/>
  <c r="I111" i="16" a="1"/>
  <c r="I111" i="16"/>
  <c r="H111" i="16"/>
  <c r="G111" i="16" a="1"/>
  <c r="G111" i="16" s="1"/>
  <c r="F111" i="16"/>
  <c r="J110" i="16" a="1"/>
  <c r="J110" i="16" s="1"/>
  <c r="I110" i="16" a="1"/>
  <c r="I110" i="16" s="1"/>
  <c r="H110" i="16"/>
  <c r="G110" i="16" a="1"/>
  <c r="G110" i="16"/>
  <c r="F110" i="16"/>
  <c r="J109" i="16" a="1"/>
  <c r="J109" i="16" s="1"/>
  <c r="I109" i="16" a="1"/>
  <c r="I109" i="16" s="1"/>
  <c r="H109" i="16"/>
  <c r="G109" i="16" a="1"/>
  <c r="G109" i="16" s="1"/>
  <c r="F109" i="16"/>
  <c r="J108" i="16" a="1"/>
  <c r="J108" i="16" s="1"/>
  <c r="I108" i="16" a="1"/>
  <c r="I108" i="16" s="1"/>
  <c r="H108" i="16"/>
  <c r="G108" i="16" a="1"/>
  <c r="G108" i="16"/>
  <c r="F108" i="16"/>
  <c r="J107" i="16" a="1"/>
  <c r="J107" i="16" s="1"/>
  <c r="I107" i="16" a="1"/>
  <c r="I107" i="16" s="1"/>
  <c r="H107" i="16"/>
  <c r="G107" i="16" a="1"/>
  <c r="G107" i="16" s="1"/>
  <c r="F107" i="16"/>
  <c r="J106" i="16" a="1"/>
  <c r="J106" i="16" s="1"/>
  <c r="I106" i="16" a="1"/>
  <c r="I106" i="16" s="1"/>
  <c r="H106" i="16"/>
  <c r="G106" i="16" a="1"/>
  <c r="G106" i="16" s="1"/>
  <c r="F106" i="16"/>
  <c r="J105" i="16" a="1"/>
  <c r="J105" i="16" s="1"/>
  <c r="I105" i="16" a="1"/>
  <c r="I105" i="16"/>
  <c r="H105" i="16"/>
  <c r="G105" i="16" a="1"/>
  <c r="G105" i="16" s="1"/>
  <c r="F105" i="16"/>
  <c r="J104" i="16" a="1"/>
  <c r="J104" i="16"/>
  <c r="I104" i="16" a="1"/>
  <c r="I104" i="16" s="1"/>
  <c r="H104" i="16"/>
  <c r="G104" i="16" a="1"/>
  <c r="G104" i="16"/>
  <c r="F104" i="16"/>
  <c r="J103" i="16" a="1"/>
  <c r="J103" i="16" s="1"/>
  <c r="I103" i="16" a="1"/>
  <c r="I103" i="16"/>
  <c r="H103" i="16"/>
  <c r="G103" i="16" a="1"/>
  <c r="G103" i="16" s="1"/>
  <c r="F103" i="16"/>
  <c r="J102" i="16" a="1"/>
  <c r="J102" i="16" s="1"/>
  <c r="I102" i="16" a="1"/>
  <c r="I102" i="16" s="1"/>
  <c r="H102" i="16"/>
  <c r="G102" i="16" a="1"/>
  <c r="G102" i="16"/>
  <c r="F102" i="16"/>
  <c r="J101" i="16" a="1"/>
  <c r="J101" i="16" s="1"/>
  <c r="I101" i="16" a="1"/>
  <c r="I101" i="16" s="1"/>
  <c r="H101" i="16"/>
  <c r="G101" i="16" a="1"/>
  <c r="G101" i="16" s="1"/>
  <c r="F101" i="16"/>
  <c r="J100" i="16" a="1"/>
  <c r="J100" i="16"/>
  <c r="I100" i="16" a="1"/>
  <c r="I100" i="16" s="1"/>
  <c r="H100" i="16"/>
  <c r="G100" i="16" a="1"/>
  <c r="G100" i="16"/>
  <c r="F100" i="16"/>
  <c r="J99" i="16" a="1"/>
  <c r="J99" i="16" s="1"/>
  <c r="I99" i="16" a="1"/>
  <c r="I99" i="16" s="1"/>
  <c r="H99" i="16"/>
  <c r="G99" i="16" a="1"/>
  <c r="G99" i="16" s="1"/>
  <c r="F99" i="16"/>
  <c r="J98" i="16" a="1"/>
  <c r="J98" i="16" s="1"/>
  <c r="I98" i="16" a="1"/>
  <c r="I98" i="16" s="1"/>
  <c r="H98" i="16"/>
  <c r="G98" i="16" a="1"/>
  <c r="G98" i="16"/>
  <c r="F98" i="16"/>
  <c r="J97" i="16" a="1"/>
  <c r="J97" i="16" s="1"/>
  <c r="I97" i="16" a="1"/>
  <c r="I97" i="16" s="1"/>
  <c r="H97" i="16"/>
  <c r="G97" i="16" a="1"/>
  <c r="G97" i="16" s="1"/>
  <c r="F97" i="16"/>
  <c r="J96" i="16" a="1"/>
  <c r="J96" i="16" s="1"/>
  <c r="I96" i="16" a="1"/>
  <c r="I96" i="16" s="1"/>
  <c r="H96" i="16"/>
  <c r="G96" i="16" a="1"/>
  <c r="G96" i="16" s="1"/>
  <c r="F96" i="16"/>
  <c r="J95" i="16" a="1"/>
  <c r="J95" i="16" s="1"/>
  <c r="I95" i="16" a="1"/>
  <c r="I95" i="16" s="1"/>
  <c r="H95" i="16"/>
  <c r="G95" i="16" a="1"/>
  <c r="G95" i="16" s="1"/>
  <c r="F95" i="16"/>
  <c r="J94" i="16" a="1"/>
  <c r="J94" i="16" s="1"/>
  <c r="I94" i="16" a="1"/>
  <c r="I94" i="16" s="1"/>
  <c r="H94" i="16"/>
  <c r="G94" i="16" a="1"/>
  <c r="G94" i="16" s="1"/>
  <c r="F94" i="16"/>
  <c r="J93" i="16" a="1"/>
  <c r="J93" i="16" s="1"/>
  <c r="I93" i="16" a="1"/>
  <c r="I93" i="16" s="1"/>
  <c r="H93" i="16"/>
  <c r="G93" i="16" a="1"/>
  <c r="G93" i="16" s="1"/>
  <c r="F93" i="16"/>
  <c r="J92" i="16" a="1"/>
  <c r="J92" i="16" s="1"/>
  <c r="I92" i="16" a="1"/>
  <c r="I92" i="16" s="1"/>
  <c r="H92" i="16"/>
  <c r="G92" i="16" a="1"/>
  <c r="G92" i="16" s="1"/>
  <c r="F92" i="16"/>
  <c r="J91" i="16" a="1"/>
  <c r="J91" i="16" s="1"/>
  <c r="I91" i="16" a="1"/>
  <c r="I91" i="16" s="1"/>
  <c r="H91" i="16"/>
  <c r="G91" i="16" a="1"/>
  <c r="G91" i="16" s="1"/>
  <c r="F91" i="16"/>
  <c r="J90" i="16" a="1"/>
  <c r="J90" i="16"/>
  <c r="I90" i="16" a="1"/>
  <c r="I90" i="16" s="1"/>
  <c r="H90" i="16"/>
  <c r="G90" i="16" a="1"/>
  <c r="G90" i="16" s="1"/>
  <c r="F90" i="16"/>
  <c r="J89" i="16" a="1"/>
  <c r="J89" i="16" s="1"/>
  <c r="I89" i="16" a="1"/>
  <c r="I89" i="16"/>
  <c r="H89" i="16"/>
  <c r="G89" i="16" a="1"/>
  <c r="G89" i="16" s="1"/>
  <c r="F89" i="16"/>
  <c r="J88" i="16" a="1"/>
  <c r="J88" i="16" s="1"/>
  <c r="I88" i="16" a="1"/>
  <c r="I88" i="16" s="1"/>
  <c r="H88" i="16"/>
  <c r="G88" i="16" a="1"/>
  <c r="G88" i="16"/>
  <c r="F88" i="16"/>
  <c r="C88" i="16"/>
  <c r="J87" i="16" a="1"/>
  <c r="J87" i="16" s="1"/>
  <c r="I87" i="16" a="1"/>
  <c r="I87" i="16"/>
  <c r="H87" i="16"/>
  <c r="G87" i="16" a="1"/>
  <c r="G87" i="16"/>
  <c r="F87" i="16"/>
  <c r="C87" i="16"/>
  <c r="J86" i="16" a="1"/>
  <c r="J86" i="16" s="1"/>
  <c r="I86" i="16" a="1"/>
  <c r="I86" i="16" s="1"/>
  <c r="H86" i="16"/>
  <c r="G86" i="16" a="1"/>
  <c r="G86" i="16"/>
  <c r="F86" i="16"/>
  <c r="C86" i="16"/>
  <c r="J85" i="16" a="1"/>
  <c r="J85" i="16" s="1"/>
  <c r="I85" i="16" a="1"/>
  <c r="I85" i="16" s="1"/>
  <c r="H85" i="16"/>
  <c r="G85" i="16" a="1"/>
  <c r="G85" i="16"/>
  <c r="F85" i="16"/>
  <c r="C85" i="16"/>
  <c r="J84" i="16" a="1"/>
  <c r="J84" i="16" s="1"/>
  <c r="I84" i="16" a="1"/>
  <c r="I84" i="16" s="1"/>
  <c r="H84" i="16"/>
  <c r="G84" i="16" a="1"/>
  <c r="G84" i="16"/>
  <c r="F84" i="16"/>
  <c r="C84" i="16"/>
  <c r="J83" i="16" a="1"/>
  <c r="J83" i="16" s="1"/>
  <c r="I83" i="16" a="1"/>
  <c r="I83" i="16" s="1"/>
  <c r="H83" i="16"/>
  <c r="G83" i="16" a="1"/>
  <c r="G83" i="16" s="1"/>
  <c r="F83" i="16"/>
  <c r="D83" i="16"/>
  <c r="C83" i="16"/>
  <c r="J82" i="16" a="1"/>
  <c r="J82" i="16" s="1"/>
  <c r="I82" i="16" a="1"/>
  <c r="I82" i="16" s="1"/>
  <c r="H82" i="16"/>
  <c r="G82" i="16" a="1"/>
  <c r="G82" i="16" s="1"/>
  <c r="F82" i="16"/>
  <c r="D82" i="16"/>
  <c r="C82" i="16"/>
  <c r="J81" i="16" a="1"/>
  <c r="J81" i="16" s="1"/>
  <c r="I81" i="16" a="1"/>
  <c r="I81" i="16" s="1"/>
  <c r="H81" i="16"/>
  <c r="G81" i="16" a="1"/>
  <c r="G81" i="16" s="1"/>
  <c r="F81" i="16"/>
  <c r="D81" i="16"/>
  <c r="C81" i="16"/>
  <c r="J80" i="16" a="1"/>
  <c r="J80" i="16" s="1"/>
  <c r="I80" i="16" a="1"/>
  <c r="I80" i="16" s="1"/>
  <c r="H80" i="16"/>
  <c r="G80" i="16" a="1"/>
  <c r="G80" i="16"/>
  <c r="F80" i="16"/>
  <c r="D80" i="16"/>
  <c r="C80" i="16"/>
  <c r="J79" i="16" a="1"/>
  <c r="J79" i="16"/>
  <c r="I79" i="16" a="1"/>
  <c r="I79" i="16" s="1"/>
  <c r="H79" i="16"/>
  <c r="G79" i="16" a="1"/>
  <c r="G79" i="16" s="1"/>
  <c r="F79" i="16"/>
  <c r="D79" i="16"/>
  <c r="C79" i="16"/>
  <c r="J78" i="16" a="1"/>
  <c r="J78" i="16" s="1"/>
  <c r="I78" i="16" a="1"/>
  <c r="I78" i="16"/>
  <c r="H78" i="16"/>
  <c r="G78" i="16" a="1"/>
  <c r="G78" i="16" s="1"/>
  <c r="F78" i="16"/>
  <c r="D78" i="16"/>
  <c r="C78" i="16"/>
  <c r="J77" i="16" a="1"/>
  <c r="J77" i="16"/>
  <c r="I77" i="16" a="1"/>
  <c r="I77" i="16" s="1"/>
  <c r="H77" i="16"/>
  <c r="G77" i="16" a="1"/>
  <c r="G77" i="16"/>
  <c r="F77" i="16"/>
  <c r="D77" i="16"/>
  <c r="E77" i="16" s="1"/>
  <c r="C77" i="16"/>
  <c r="J76" i="16" a="1"/>
  <c r="J76" i="16" s="1"/>
  <c r="I76" i="16" a="1"/>
  <c r="I76" i="16" s="1"/>
  <c r="H76" i="16"/>
  <c r="G76" i="16" a="1"/>
  <c r="G76" i="16" s="1"/>
  <c r="F76" i="16"/>
  <c r="D76" i="16"/>
  <c r="E76" i="16" s="1"/>
  <c r="C76" i="16"/>
  <c r="J75" i="16" a="1"/>
  <c r="J75" i="16" s="1"/>
  <c r="I75" i="16" a="1"/>
  <c r="I75" i="16" s="1"/>
  <c r="H75" i="16"/>
  <c r="G75" i="16" a="1"/>
  <c r="G75" i="16" s="1"/>
  <c r="F75" i="16"/>
  <c r="D75" i="16"/>
  <c r="E75" i="16" s="1"/>
  <c r="C75" i="16"/>
  <c r="J74" i="16" a="1"/>
  <c r="J74" i="16" s="1"/>
  <c r="I74" i="16" a="1"/>
  <c r="I74" i="16" s="1"/>
  <c r="H74" i="16"/>
  <c r="G74" i="16" a="1"/>
  <c r="G74" i="16" s="1"/>
  <c r="F74" i="16"/>
  <c r="E74" i="16"/>
  <c r="D74" i="16"/>
  <c r="C74" i="16"/>
  <c r="S73" i="16"/>
  <c r="R73" i="16"/>
  <c r="Q73" i="16"/>
  <c r="P73" i="16"/>
  <c r="O73" i="16"/>
  <c r="H73" i="16" s="1"/>
  <c r="N73" i="16"/>
  <c r="M73" i="16"/>
  <c r="L73" i="16"/>
  <c r="K73" i="16"/>
  <c r="I73" i="16" s="1" a="1"/>
  <c r="I73" i="16" s="1"/>
  <c r="D73" i="16"/>
  <c r="E73" i="16" s="1"/>
  <c r="C73" i="16"/>
  <c r="J72" i="16" a="1"/>
  <c r="J72" i="16" s="1"/>
  <c r="I72" i="16" a="1"/>
  <c r="I72" i="16" s="1"/>
  <c r="H72" i="16"/>
  <c r="G72" i="16" a="1"/>
  <c r="G72" i="16" s="1"/>
  <c r="F72" i="16"/>
  <c r="D72" i="16"/>
  <c r="E72" i="16" s="1"/>
  <c r="C72" i="16"/>
  <c r="J71" i="16" a="1"/>
  <c r="J71" i="16" s="1"/>
  <c r="I71" i="16" a="1"/>
  <c r="I71" i="16" s="1"/>
  <c r="H71" i="16"/>
  <c r="G71" i="16" a="1"/>
  <c r="G71" i="16" s="1"/>
  <c r="F71" i="16"/>
  <c r="D71" i="16"/>
  <c r="E71" i="16" s="1"/>
  <c r="C71" i="16"/>
  <c r="J70" i="16" a="1"/>
  <c r="J70" i="16" s="1"/>
  <c r="I70" i="16" a="1"/>
  <c r="I70" i="16" s="1"/>
  <c r="H70" i="16"/>
  <c r="G70" i="16" a="1"/>
  <c r="G70" i="16" s="1"/>
  <c r="F70" i="16"/>
  <c r="E70" i="16"/>
  <c r="D70" i="16"/>
  <c r="C70" i="16"/>
  <c r="J69" i="16" a="1"/>
  <c r="J69" i="16" s="1"/>
  <c r="I69" i="16" a="1"/>
  <c r="I69" i="16" s="1"/>
  <c r="H69" i="16"/>
  <c r="G69" i="16" a="1"/>
  <c r="G69" i="16" s="1"/>
  <c r="F69" i="16"/>
  <c r="E69" i="16"/>
  <c r="D69" i="16"/>
  <c r="C69" i="16"/>
  <c r="S68" i="16"/>
  <c r="R68" i="16"/>
  <c r="Q68" i="16"/>
  <c r="P68" i="16"/>
  <c r="O68" i="16"/>
  <c r="H68" i="16" s="1"/>
  <c r="N68" i="16"/>
  <c r="M68" i="16"/>
  <c r="L68" i="16"/>
  <c r="K68" i="16"/>
  <c r="I68" i="16" a="1"/>
  <c r="I68" i="16" s="1"/>
  <c r="D68" i="16"/>
  <c r="E68" i="16" s="1"/>
  <c r="C68" i="16"/>
  <c r="J67" i="16" a="1"/>
  <c r="J67" i="16" s="1"/>
  <c r="I67" i="16" a="1"/>
  <c r="I67" i="16"/>
  <c r="H67" i="16"/>
  <c r="G67" i="16" a="1"/>
  <c r="G67" i="16"/>
  <c r="F67" i="16"/>
  <c r="D67" i="16"/>
  <c r="E67" i="16" s="1"/>
  <c r="C67" i="16"/>
  <c r="S66" i="16"/>
  <c r="R66" i="16"/>
  <c r="Q66" i="16"/>
  <c r="P66" i="16"/>
  <c r="O66" i="16"/>
  <c r="H66" i="16" s="1"/>
  <c r="N66" i="16"/>
  <c r="G66" i="16" s="1" a="1"/>
  <c r="G66" i="16" s="1"/>
  <c r="F66" i="16" s="1"/>
  <c r="M66" i="16"/>
  <c r="L66" i="16"/>
  <c r="K66" i="16"/>
  <c r="I66" i="16" a="1"/>
  <c r="I66" i="16" s="1"/>
  <c r="D66" i="16"/>
  <c r="E66" i="16" s="1"/>
  <c r="C66" i="16"/>
  <c r="J65" i="16" a="1"/>
  <c r="J65" i="16" s="1"/>
  <c r="I65" i="16" a="1"/>
  <c r="I65" i="16" s="1"/>
  <c r="H65" i="16"/>
  <c r="G65" i="16" a="1"/>
  <c r="G65" i="16" s="1"/>
  <c r="F65" i="16"/>
  <c r="D65" i="16"/>
  <c r="E65" i="16" s="1"/>
  <c r="C65" i="16"/>
  <c r="J64" i="16" a="1"/>
  <c r="J64" i="16"/>
  <c r="I64" i="16" a="1"/>
  <c r="I64" i="16" s="1"/>
  <c r="H64" i="16"/>
  <c r="G64" i="16" a="1"/>
  <c r="G64" i="16" s="1"/>
  <c r="F64" i="16"/>
  <c r="D64" i="16"/>
  <c r="E64" i="16" s="1"/>
  <c r="C64" i="16"/>
  <c r="J63" i="16" a="1"/>
  <c r="J63" i="16"/>
  <c r="I63" i="16" a="1"/>
  <c r="I63" i="16" s="1"/>
  <c r="H63" i="16"/>
  <c r="G63" i="16" a="1"/>
  <c r="G63" i="16" s="1"/>
  <c r="F63" i="16"/>
  <c r="D63" i="16"/>
  <c r="E63" i="16" s="1"/>
  <c r="C63" i="16"/>
  <c r="S62" i="16"/>
  <c r="R62" i="16"/>
  <c r="Q62" i="16"/>
  <c r="P62" i="16"/>
  <c r="O62" i="16"/>
  <c r="H62" i="16" s="1"/>
  <c r="N62" i="16"/>
  <c r="M62" i="16"/>
  <c r="L62" i="16"/>
  <c r="K62" i="16"/>
  <c r="I62" i="16" s="1" a="1"/>
  <c r="I62" i="16" s="1"/>
  <c r="G62" i="16" a="1"/>
  <c r="G62" i="16" s="1"/>
  <c r="D62" i="16"/>
  <c r="E62" i="16" s="1"/>
  <c r="C62" i="16"/>
  <c r="J61" i="16" a="1"/>
  <c r="J61" i="16" s="1"/>
  <c r="I61" i="16" a="1"/>
  <c r="I61" i="16"/>
  <c r="H61" i="16"/>
  <c r="G61" i="16" a="1"/>
  <c r="G61" i="16" s="1"/>
  <c r="F61" i="16"/>
  <c r="D61" i="16"/>
  <c r="E61" i="16" s="1"/>
  <c r="C61" i="16"/>
  <c r="J60" i="16" a="1"/>
  <c r="J60" i="16" s="1"/>
  <c r="I60" i="16" a="1"/>
  <c r="I60" i="16" s="1"/>
  <c r="H60" i="16"/>
  <c r="G60" i="16" a="1"/>
  <c r="G60" i="16" s="1"/>
  <c r="F60" i="16"/>
  <c r="D60" i="16"/>
  <c r="E60" i="16" s="1"/>
  <c r="C60" i="16"/>
  <c r="S59" i="16"/>
  <c r="R59" i="16"/>
  <c r="Q59" i="16"/>
  <c r="P59" i="16"/>
  <c r="O59" i="16"/>
  <c r="H59" i="16" s="1"/>
  <c r="N59" i="16"/>
  <c r="M59" i="16"/>
  <c r="L59" i="16"/>
  <c r="K59" i="16"/>
  <c r="I59" i="16" a="1"/>
  <c r="I59" i="16" s="1"/>
  <c r="D59" i="16"/>
  <c r="E59" i="16" s="1"/>
  <c r="C59" i="16"/>
  <c r="S58" i="16"/>
  <c r="R58" i="16"/>
  <c r="Q58" i="16"/>
  <c r="P58" i="16"/>
  <c r="O58" i="16"/>
  <c r="H58" i="16" s="1"/>
  <c r="N58" i="16"/>
  <c r="G58" i="16" s="1" a="1"/>
  <c r="G58" i="16" s="1"/>
  <c r="M58" i="16"/>
  <c r="L58" i="16"/>
  <c r="K58" i="16"/>
  <c r="I58" i="16" s="1" a="1"/>
  <c r="I58" i="16" s="1"/>
  <c r="F58" i="16"/>
  <c r="D58" i="16"/>
  <c r="E58" i="16" s="1"/>
  <c r="C58" i="16"/>
  <c r="S57" i="16"/>
  <c r="R57" i="16"/>
  <c r="Q57" i="16"/>
  <c r="P57" i="16"/>
  <c r="O57" i="16"/>
  <c r="H57" i="16" s="1"/>
  <c r="N57" i="16"/>
  <c r="M57" i="16"/>
  <c r="L57" i="16"/>
  <c r="K57" i="16"/>
  <c r="I57" i="16" s="1" a="1"/>
  <c r="I57" i="16" s="1"/>
  <c r="D57" i="16"/>
  <c r="E57" i="16" s="1"/>
  <c r="C57" i="16"/>
  <c r="J56" i="16" a="1"/>
  <c r="J56" i="16" s="1"/>
  <c r="I56" i="16" a="1"/>
  <c r="I56" i="16" s="1"/>
  <c r="H56" i="16"/>
  <c r="G56" i="16" a="1"/>
  <c r="G56" i="16" s="1"/>
  <c r="F56" i="16"/>
  <c r="D56" i="16"/>
  <c r="E56" i="16" s="1"/>
  <c r="C56" i="16"/>
  <c r="J55" i="16" a="1"/>
  <c r="J55" i="16" s="1"/>
  <c r="I55" i="16" a="1"/>
  <c r="I55" i="16" s="1"/>
  <c r="H55" i="16"/>
  <c r="G55" i="16" a="1"/>
  <c r="G55" i="16" s="1"/>
  <c r="F55" i="16"/>
  <c r="E55" i="16"/>
  <c r="D55" i="16"/>
  <c r="C55" i="16"/>
  <c r="S54" i="16"/>
  <c r="R54" i="16"/>
  <c r="Q54" i="16"/>
  <c r="P54" i="16"/>
  <c r="O54" i="16"/>
  <c r="H54" i="16" s="1"/>
  <c r="N54" i="16"/>
  <c r="M54" i="16"/>
  <c r="L54" i="16"/>
  <c r="K54" i="16"/>
  <c r="I54" i="16" s="1" a="1"/>
  <c r="I54" i="16" s="1"/>
  <c r="D54" i="16"/>
  <c r="E54" i="16" s="1"/>
  <c r="C54" i="16"/>
  <c r="S53" i="16"/>
  <c r="R53" i="16"/>
  <c r="Q53" i="16"/>
  <c r="P53" i="16"/>
  <c r="O53" i="16"/>
  <c r="H53" i="16" s="1"/>
  <c r="N53" i="16"/>
  <c r="M53" i="16"/>
  <c r="L53" i="16"/>
  <c r="K53" i="16"/>
  <c r="I53" i="16" s="1" a="1"/>
  <c r="I53" i="16" s="1"/>
  <c r="E53" i="16"/>
  <c r="D53" i="16"/>
  <c r="C53" i="16"/>
  <c r="S52" i="16"/>
  <c r="R52" i="16"/>
  <c r="Q52" i="16"/>
  <c r="P52" i="16"/>
  <c r="O52" i="16"/>
  <c r="H52" i="16" s="1"/>
  <c r="N52" i="16"/>
  <c r="M52" i="16"/>
  <c r="L52" i="16"/>
  <c r="K52" i="16"/>
  <c r="I52" i="16" s="1" a="1"/>
  <c r="I52" i="16" s="1"/>
  <c r="D52" i="16"/>
  <c r="E52" i="16" s="1"/>
  <c r="C52" i="16"/>
  <c r="J51" i="16" a="1"/>
  <c r="J51" i="16"/>
  <c r="I51" i="16" a="1"/>
  <c r="I51" i="16" s="1"/>
  <c r="H51" i="16"/>
  <c r="G51" i="16" a="1"/>
  <c r="G51" i="16" s="1"/>
  <c r="F51" i="16"/>
  <c r="D51" i="16"/>
  <c r="E51" i="16" s="1"/>
  <c r="C51" i="16"/>
  <c r="S50" i="16"/>
  <c r="R50" i="16"/>
  <c r="Q50" i="16"/>
  <c r="P50" i="16"/>
  <c r="O50" i="16"/>
  <c r="H50" i="16" s="1"/>
  <c r="N50" i="16"/>
  <c r="G50" i="16" s="1" a="1"/>
  <c r="G50" i="16" s="1"/>
  <c r="M50" i="16"/>
  <c r="L50" i="16"/>
  <c r="K50" i="16"/>
  <c r="I50" i="16" s="1" a="1"/>
  <c r="I50" i="16" s="1"/>
  <c r="D50" i="16"/>
  <c r="E50" i="16" s="1"/>
  <c r="C50" i="16"/>
  <c r="S49" i="16"/>
  <c r="R49" i="16"/>
  <c r="Q49" i="16"/>
  <c r="P49" i="16"/>
  <c r="O49" i="16"/>
  <c r="H49" i="16" s="1"/>
  <c r="N49" i="16"/>
  <c r="M49" i="16"/>
  <c r="L49" i="16"/>
  <c r="K49" i="16"/>
  <c r="I49" i="16" s="1" a="1"/>
  <c r="I49" i="16" s="1"/>
  <c r="J49" i="16" s="1" a="1"/>
  <c r="J49" i="16" s="1"/>
  <c r="G49" i="16" a="1"/>
  <c r="G49" i="16" s="1"/>
  <c r="F49" i="16" s="1"/>
  <c r="D49" i="16"/>
  <c r="E49" i="16" s="1"/>
  <c r="C49" i="16"/>
  <c r="S48" i="16"/>
  <c r="R48" i="16"/>
  <c r="Q48" i="16"/>
  <c r="P48" i="16"/>
  <c r="O48" i="16"/>
  <c r="H48" i="16" s="1"/>
  <c r="N48" i="16"/>
  <c r="G48" i="16" s="1" a="1"/>
  <c r="G48" i="16" s="1"/>
  <c r="F48" i="16" s="1"/>
  <c r="M48" i="16"/>
  <c r="L48" i="16"/>
  <c r="K48" i="16"/>
  <c r="I48" i="16" s="1" a="1"/>
  <c r="I48" i="16" s="1"/>
  <c r="D48" i="16"/>
  <c r="E48" i="16" s="1"/>
  <c r="C48" i="16"/>
  <c r="J47" i="16" a="1"/>
  <c r="J47" i="16" s="1"/>
  <c r="I47" i="16" a="1"/>
  <c r="I47" i="16" s="1"/>
  <c r="H47" i="16"/>
  <c r="G47" i="16" a="1"/>
  <c r="G47" i="16" s="1"/>
  <c r="F47" i="16"/>
  <c r="D47" i="16"/>
  <c r="E47" i="16" s="1"/>
  <c r="C47" i="16"/>
  <c r="J46" i="16" a="1"/>
  <c r="J46" i="16"/>
  <c r="I46" i="16" a="1"/>
  <c r="I46" i="16" s="1"/>
  <c r="H46" i="16"/>
  <c r="G46" i="16" a="1"/>
  <c r="G46" i="16" s="1"/>
  <c r="F46" i="16"/>
  <c r="D46" i="16"/>
  <c r="E46" i="16" s="1"/>
  <c r="C46" i="16"/>
  <c r="S45" i="16"/>
  <c r="R45" i="16"/>
  <c r="Q45" i="16"/>
  <c r="P45" i="16"/>
  <c r="O45" i="16"/>
  <c r="H45" i="16" s="1"/>
  <c r="N45" i="16"/>
  <c r="G45" i="16" s="1" a="1"/>
  <c r="G45" i="16" s="1"/>
  <c r="F45" i="16" s="1"/>
  <c r="M45" i="16"/>
  <c r="L45" i="16"/>
  <c r="K45" i="16"/>
  <c r="I45" i="16" s="1" a="1"/>
  <c r="I45" i="16" s="1"/>
  <c r="E45" i="16"/>
  <c r="D45" i="16"/>
  <c r="C45" i="16"/>
  <c r="J44" i="16" a="1"/>
  <c r="J44" i="16" s="1"/>
  <c r="I44" i="16" a="1"/>
  <c r="I44" i="16" s="1"/>
  <c r="H44" i="16"/>
  <c r="G44" i="16" a="1"/>
  <c r="G44" i="16" s="1"/>
  <c r="F44" i="16"/>
  <c r="E44" i="16"/>
  <c r="D44" i="16"/>
  <c r="C44" i="16"/>
  <c r="J43" i="16" a="1"/>
  <c r="J43" i="16" s="1"/>
  <c r="I43" i="16" a="1"/>
  <c r="I43" i="16" s="1"/>
  <c r="H43" i="16"/>
  <c r="G43" i="16" a="1"/>
  <c r="G43" i="16" s="1"/>
  <c r="F43" i="16"/>
  <c r="D43" i="16"/>
  <c r="E43" i="16" s="1"/>
  <c r="C43" i="16"/>
  <c r="J42" i="16" a="1"/>
  <c r="J42" i="16" s="1"/>
  <c r="I42" i="16" a="1"/>
  <c r="I42" i="16" s="1"/>
  <c r="H42" i="16"/>
  <c r="G42" i="16" a="1"/>
  <c r="G42" i="16" s="1"/>
  <c r="F42" i="16"/>
  <c r="E42" i="16"/>
  <c r="D42" i="16"/>
  <c r="C42" i="16"/>
  <c r="S41" i="16"/>
  <c r="R41" i="16"/>
  <c r="Q41" i="16"/>
  <c r="P41" i="16"/>
  <c r="O41" i="16"/>
  <c r="H41" i="16" s="1"/>
  <c r="N41" i="16"/>
  <c r="G41" i="16" s="1" a="1"/>
  <c r="G41" i="16" s="1"/>
  <c r="M41" i="16"/>
  <c r="L41" i="16"/>
  <c r="K41" i="16"/>
  <c r="I41" i="16" a="1"/>
  <c r="I41" i="16" s="1"/>
  <c r="E41" i="16"/>
  <c r="D41" i="16"/>
  <c r="C41" i="16"/>
  <c r="J40" i="16" a="1"/>
  <c r="J40" i="16" s="1"/>
  <c r="I40" i="16" a="1"/>
  <c r="I40" i="16"/>
  <c r="H40" i="16"/>
  <c r="G40" i="16" a="1"/>
  <c r="G40" i="16"/>
  <c r="F40" i="16"/>
  <c r="E40" i="16"/>
  <c r="D40" i="16"/>
  <c r="C40" i="16"/>
  <c r="J39" i="16" a="1"/>
  <c r="J39" i="16" s="1"/>
  <c r="I39" i="16" a="1"/>
  <c r="I39" i="16" s="1"/>
  <c r="H39" i="16"/>
  <c r="G39" i="16" a="1"/>
  <c r="G39" i="16" s="1"/>
  <c r="F39" i="16"/>
  <c r="E39" i="16"/>
  <c r="D39" i="16"/>
  <c r="C39" i="16"/>
  <c r="J38" i="16" a="1"/>
  <c r="J38" i="16" s="1"/>
  <c r="I38" i="16" a="1"/>
  <c r="I38" i="16" s="1"/>
  <c r="H38" i="16"/>
  <c r="G38" i="16" a="1"/>
  <c r="G38" i="16" s="1"/>
  <c r="F38" i="16"/>
  <c r="D38" i="16"/>
  <c r="E38" i="16" s="1"/>
  <c r="C38" i="16"/>
  <c r="J37" i="16" a="1"/>
  <c r="J37" i="16" s="1"/>
  <c r="I37" i="16" a="1"/>
  <c r="I37" i="16" s="1"/>
  <c r="H37" i="16"/>
  <c r="G37" i="16" a="1"/>
  <c r="G37" i="16" s="1"/>
  <c r="F37" i="16"/>
  <c r="D37" i="16"/>
  <c r="E37" i="16" s="1"/>
  <c r="C37" i="16"/>
  <c r="S36" i="16"/>
  <c r="R36" i="16"/>
  <c r="Q36" i="16"/>
  <c r="P36" i="16"/>
  <c r="O36" i="16"/>
  <c r="H36" i="16" s="1"/>
  <c r="N36" i="16"/>
  <c r="G36" i="16" s="1" a="1"/>
  <c r="G36" i="16" s="1"/>
  <c r="M36" i="16"/>
  <c r="L36" i="16"/>
  <c r="K36" i="16"/>
  <c r="I36" i="16" a="1"/>
  <c r="I36" i="16"/>
  <c r="J36" i="16" s="1" a="1"/>
  <c r="J36" i="16" s="1"/>
  <c r="D36" i="16"/>
  <c r="E36" i="16" s="1"/>
  <c r="C36" i="16"/>
  <c r="S35" i="16"/>
  <c r="R35" i="16"/>
  <c r="Q35" i="16"/>
  <c r="P35" i="16"/>
  <c r="O35" i="16"/>
  <c r="H35" i="16" s="1"/>
  <c r="N35" i="16"/>
  <c r="G35" i="16" s="1" a="1"/>
  <c r="G35" i="16" s="1"/>
  <c r="M35" i="16"/>
  <c r="L35" i="16"/>
  <c r="K35" i="16"/>
  <c r="I35" i="16" s="1" a="1"/>
  <c r="I35" i="16" s="1"/>
  <c r="J35" i="16" s="1" a="1"/>
  <c r="J35" i="16" s="1"/>
  <c r="D35" i="16"/>
  <c r="E35" i="16" s="1"/>
  <c r="C35" i="16"/>
  <c r="J34" i="16" a="1"/>
  <c r="J34" i="16"/>
  <c r="I34" i="16" a="1"/>
  <c r="I34" i="16" s="1"/>
  <c r="H34" i="16"/>
  <c r="G34" i="16" a="1"/>
  <c r="G34" i="16" s="1"/>
  <c r="F34" i="16"/>
  <c r="D34" i="16"/>
  <c r="E34" i="16" s="1"/>
  <c r="C34" i="16"/>
  <c r="J33" i="16" a="1"/>
  <c r="J33" i="16"/>
  <c r="I33" i="16" a="1"/>
  <c r="I33" i="16" s="1"/>
  <c r="H33" i="16"/>
  <c r="G33" i="16" a="1"/>
  <c r="G33" i="16" s="1"/>
  <c r="F33" i="16"/>
  <c r="D33" i="16"/>
  <c r="E33" i="16" s="1"/>
  <c r="C33" i="16"/>
  <c r="J32" i="16" a="1"/>
  <c r="J32" i="16" s="1"/>
  <c r="I32" i="16" a="1"/>
  <c r="I32" i="16" s="1"/>
  <c r="H32" i="16"/>
  <c r="G32" i="16" a="1"/>
  <c r="G32" i="16"/>
  <c r="F32" i="16"/>
  <c r="D32" i="16"/>
  <c r="E32" i="16" s="1"/>
  <c r="C32" i="16"/>
  <c r="S31" i="16"/>
  <c r="R31" i="16"/>
  <c r="Q31" i="16"/>
  <c r="P31" i="16"/>
  <c r="O31" i="16"/>
  <c r="H31" i="16" s="1"/>
  <c r="N31" i="16"/>
  <c r="M31" i="16"/>
  <c r="L31" i="16"/>
  <c r="K31" i="16"/>
  <c r="I31" i="16" s="1" a="1"/>
  <c r="I31" i="16" s="1"/>
  <c r="D31" i="16"/>
  <c r="E31" i="16" s="1"/>
  <c r="C31" i="16"/>
  <c r="J30" i="16" a="1"/>
  <c r="J30" i="16"/>
  <c r="I30" i="16" a="1"/>
  <c r="I30" i="16" s="1"/>
  <c r="H30" i="16"/>
  <c r="G30" i="16" a="1"/>
  <c r="G30" i="16"/>
  <c r="F30" i="16"/>
  <c r="D30" i="16"/>
  <c r="E30" i="16" s="1"/>
  <c r="C30" i="16"/>
  <c r="S29" i="16"/>
  <c r="R29" i="16"/>
  <c r="Q29" i="16"/>
  <c r="P29" i="16"/>
  <c r="O29" i="16"/>
  <c r="H29" i="16" s="1"/>
  <c r="N29" i="16"/>
  <c r="M29" i="16"/>
  <c r="L29" i="16"/>
  <c r="K29" i="16"/>
  <c r="I29" i="16" a="1"/>
  <c r="I29" i="16" s="1"/>
  <c r="J29" i="16" s="1" a="1"/>
  <c r="J29" i="16" s="1"/>
  <c r="D29" i="16"/>
  <c r="E29" i="16" s="1"/>
  <c r="C29" i="16"/>
  <c r="J28" i="16" a="1"/>
  <c r="J28" i="16"/>
  <c r="I28" i="16" a="1"/>
  <c r="I28" i="16" s="1"/>
  <c r="H28" i="16"/>
  <c r="G28" i="16" a="1"/>
  <c r="G28" i="16" s="1"/>
  <c r="F28" i="16"/>
  <c r="E28" i="16"/>
  <c r="D28" i="16"/>
  <c r="C28" i="16"/>
  <c r="S27" i="16"/>
  <c r="R27" i="16"/>
  <c r="Q27" i="16"/>
  <c r="P27" i="16"/>
  <c r="O27" i="16"/>
  <c r="H27" i="16" s="1"/>
  <c r="N27" i="16"/>
  <c r="M27" i="16"/>
  <c r="L27" i="16"/>
  <c r="K27" i="16"/>
  <c r="I27" i="16" s="1" a="1"/>
  <c r="I27" i="16" s="1"/>
  <c r="D27" i="16"/>
  <c r="E27" i="16" s="1"/>
  <c r="C27" i="16"/>
  <c r="J26" i="16" a="1"/>
  <c r="J26" i="16" s="1"/>
  <c r="I26" i="16" a="1"/>
  <c r="I26" i="16" s="1"/>
  <c r="H26" i="16"/>
  <c r="G26" i="16" a="1"/>
  <c r="G26" i="16"/>
  <c r="F26" i="16"/>
  <c r="D26" i="16"/>
  <c r="E26" i="16" s="1"/>
  <c r="C26" i="16"/>
  <c r="J25" i="16" a="1"/>
  <c r="J25" i="16" s="1"/>
  <c r="I25" i="16" a="1"/>
  <c r="I25" i="16"/>
  <c r="H25" i="16"/>
  <c r="G25" i="16" a="1"/>
  <c r="G25" i="16"/>
  <c r="F25" i="16"/>
  <c r="D25" i="16"/>
  <c r="E25" i="16" s="1"/>
  <c r="C25" i="16"/>
  <c r="S24" i="16"/>
  <c r="R24" i="16"/>
  <c r="Q24" i="16"/>
  <c r="P24" i="16"/>
  <c r="O24" i="16"/>
  <c r="H24" i="16" s="1"/>
  <c r="N24" i="16"/>
  <c r="G24" i="16" s="1" a="1"/>
  <c r="G24" i="16" s="1"/>
  <c r="F24" i="16" s="1"/>
  <c r="M24" i="16"/>
  <c r="L24" i="16"/>
  <c r="K24" i="16"/>
  <c r="I24" i="16" s="1" a="1"/>
  <c r="I24" i="16" s="1"/>
  <c r="D24" i="16"/>
  <c r="E24" i="16" s="1"/>
  <c r="C24" i="16"/>
  <c r="J23" i="16" a="1"/>
  <c r="J23" i="16" s="1"/>
  <c r="I23" i="16" a="1"/>
  <c r="I23" i="16" s="1"/>
  <c r="H23" i="16"/>
  <c r="G23" i="16" a="1"/>
  <c r="G23" i="16" s="1"/>
  <c r="F23" i="16"/>
  <c r="D23" i="16"/>
  <c r="E23" i="16" s="1"/>
  <c r="C23" i="16"/>
  <c r="S22" i="16"/>
  <c r="R22" i="16"/>
  <c r="Q22" i="16"/>
  <c r="P22" i="16"/>
  <c r="O22" i="16"/>
  <c r="H22" i="16" s="1"/>
  <c r="N22" i="16"/>
  <c r="M22" i="16"/>
  <c r="L22" i="16"/>
  <c r="K22" i="16"/>
  <c r="I22" i="16" s="1" a="1"/>
  <c r="I22" i="16" s="1"/>
  <c r="J22" i="16" s="1" a="1"/>
  <c r="J22" i="16" s="1"/>
  <c r="D22" i="16"/>
  <c r="E22" i="16" s="1"/>
  <c r="C22" i="16"/>
  <c r="J21" i="16" a="1"/>
  <c r="J21" i="16" s="1"/>
  <c r="I21" i="16" a="1"/>
  <c r="I21" i="16"/>
  <c r="H21" i="16"/>
  <c r="G21" i="16" a="1"/>
  <c r="G21" i="16"/>
  <c r="F21" i="16"/>
  <c r="D21" i="16"/>
  <c r="E21" i="16" s="1"/>
  <c r="C21" i="16"/>
  <c r="S20" i="16"/>
  <c r="R20" i="16"/>
  <c r="Q20" i="16"/>
  <c r="P20" i="16"/>
  <c r="O20" i="16"/>
  <c r="H20" i="16" s="1"/>
  <c r="N20" i="16"/>
  <c r="M20" i="16"/>
  <c r="L20" i="16"/>
  <c r="K20" i="16"/>
  <c r="I20" i="16" a="1"/>
  <c r="I20" i="16" s="1"/>
  <c r="D20" i="16"/>
  <c r="E20" i="16" s="1"/>
  <c r="C20" i="16"/>
  <c r="S19" i="16"/>
  <c r="R19" i="16"/>
  <c r="Q19" i="16"/>
  <c r="P19" i="16"/>
  <c r="O19" i="16"/>
  <c r="H19" i="16" s="1"/>
  <c r="N19" i="16"/>
  <c r="G19" i="16" s="1" a="1"/>
  <c r="G19" i="16" s="1"/>
  <c r="F19" i="16" s="1"/>
  <c r="M19" i="16"/>
  <c r="L19" i="16"/>
  <c r="K19" i="16"/>
  <c r="I19" i="16" s="1" a="1"/>
  <c r="I19" i="16" s="1"/>
  <c r="D19" i="16"/>
  <c r="E19" i="16" s="1"/>
  <c r="C19" i="16"/>
  <c r="J18" i="16" a="1"/>
  <c r="J18" i="16" s="1"/>
  <c r="I18" i="16" a="1"/>
  <c r="I18" i="16" s="1"/>
  <c r="H18" i="16"/>
  <c r="G18" i="16" a="1"/>
  <c r="G18" i="16" s="1"/>
  <c r="F18" i="16"/>
  <c r="E18" i="16"/>
  <c r="D18" i="16"/>
  <c r="C18" i="16"/>
  <c r="J17" i="16" a="1"/>
  <c r="J17" i="16"/>
  <c r="I17" i="16" a="1"/>
  <c r="I17" i="16" s="1"/>
  <c r="H17" i="16"/>
  <c r="G17" i="16" a="1"/>
  <c r="G17" i="16" s="1"/>
  <c r="F17" i="16"/>
  <c r="E17" i="16"/>
  <c r="D17" i="16"/>
  <c r="C17" i="16"/>
  <c r="S16" i="16"/>
  <c r="R16" i="16"/>
  <c r="Q16" i="16"/>
  <c r="P16" i="16"/>
  <c r="O16" i="16"/>
  <c r="H16" i="16" s="1"/>
  <c r="N16" i="16"/>
  <c r="G16" i="16" s="1" a="1"/>
  <c r="G16" i="16" s="1"/>
  <c r="F16" i="16" s="1"/>
  <c r="M16" i="16"/>
  <c r="L16" i="16"/>
  <c r="K16" i="16"/>
  <c r="I16" i="16" s="1" a="1"/>
  <c r="I16" i="16" s="1"/>
  <c r="D16" i="16"/>
  <c r="E16" i="16" s="1"/>
  <c r="C16" i="16"/>
  <c r="J15" i="16" a="1"/>
  <c r="J15" i="16" s="1"/>
  <c r="I15" i="16" a="1"/>
  <c r="I15" i="16"/>
  <c r="H15" i="16"/>
  <c r="G15" i="16" a="1"/>
  <c r="G15" i="16"/>
  <c r="F15" i="16"/>
  <c r="D15" i="16"/>
  <c r="E15" i="16" s="1"/>
  <c r="C15" i="16"/>
  <c r="J14" i="16" a="1"/>
  <c r="J14" i="16"/>
  <c r="I14" i="16" a="1"/>
  <c r="I14" i="16" s="1"/>
  <c r="H14" i="16"/>
  <c r="G14" i="16" a="1"/>
  <c r="G14" i="16" s="1"/>
  <c r="F14" i="16"/>
  <c r="D14" i="16"/>
  <c r="E14" i="16" s="1"/>
  <c r="C14" i="16"/>
  <c r="J13" i="16" a="1"/>
  <c r="J13" i="16" s="1"/>
  <c r="I13" i="16" a="1"/>
  <c r="I13" i="16" s="1"/>
  <c r="H13" i="16"/>
  <c r="G13" i="16" a="1"/>
  <c r="G13" i="16" s="1"/>
  <c r="F13" i="16"/>
  <c r="D13" i="16"/>
  <c r="E13" i="16" s="1"/>
  <c r="C13" i="16"/>
  <c r="S12" i="16"/>
  <c r="R12" i="16"/>
  <c r="Q12" i="16"/>
  <c r="P12" i="16"/>
  <c r="O12" i="16"/>
  <c r="N12" i="16"/>
  <c r="M12" i="16"/>
  <c r="L12" i="16"/>
  <c r="K12" i="16"/>
  <c r="I12" i="16" s="1" a="1"/>
  <c r="I12" i="16" s="1"/>
  <c r="H12" i="16"/>
  <c r="D12" i="16"/>
  <c r="E12" i="16" s="1"/>
  <c r="C12" i="16"/>
  <c r="J11" i="16" a="1"/>
  <c r="J11" i="16"/>
  <c r="I11" i="16" a="1"/>
  <c r="I11" i="16" s="1"/>
  <c r="H11" i="16"/>
  <c r="G11" i="16" a="1"/>
  <c r="G11" i="16" s="1"/>
  <c r="F11" i="16"/>
  <c r="D11" i="16"/>
  <c r="E11" i="16" s="1"/>
  <c r="C11" i="16"/>
  <c r="J10" i="16" a="1"/>
  <c r="J10" i="16" s="1"/>
  <c r="I10" i="16" a="1"/>
  <c r="I10" i="16" s="1"/>
  <c r="H10" i="16"/>
  <c r="G10" i="16" a="1"/>
  <c r="G10" i="16"/>
  <c r="F10" i="16"/>
  <c r="D10" i="16"/>
  <c r="E10" i="16" s="1"/>
  <c r="C10" i="16"/>
  <c r="J9" i="16" a="1"/>
  <c r="J9" i="16" s="1"/>
  <c r="I9" i="16" a="1"/>
  <c r="I9" i="16"/>
  <c r="H9" i="16"/>
  <c r="G9" i="16" a="1"/>
  <c r="G9" i="16" s="1"/>
  <c r="F9" i="16"/>
  <c r="D9" i="16"/>
  <c r="E9" i="16" s="1"/>
  <c r="C9" i="16"/>
  <c r="J8" i="16" a="1"/>
  <c r="J8" i="16" s="1"/>
  <c r="I8" i="16" a="1"/>
  <c r="I8" i="16" s="1"/>
  <c r="H8" i="16"/>
  <c r="G8" i="16" a="1"/>
  <c r="G8" i="16"/>
  <c r="F8" i="16"/>
  <c r="E8" i="16"/>
  <c r="D8" i="16"/>
  <c r="C8" i="16"/>
  <c r="J7" i="16" a="1"/>
  <c r="J7" i="16"/>
  <c r="I7" i="16" a="1"/>
  <c r="I7" i="16" s="1"/>
  <c r="H7" i="16"/>
  <c r="G7" i="16" a="1"/>
  <c r="G7" i="16" s="1"/>
  <c r="F7" i="16"/>
  <c r="E7" i="16"/>
  <c r="D7" i="16"/>
  <c r="C7" i="16"/>
  <c r="J6" i="16" a="1"/>
  <c r="J6" i="16" s="1"/>
  <c r="I6" i="16" a="1"/>
  <c r="I6" i="16" s="1"/>
  <c r="H6" i="16"/>
  <c r="G6" i="16" a="1"/>
  <c r="G6" i="16" s="1"/>
  <c r="F6" i="16"/>
  <c r="D6" i="16"/>
  <c r="E6" i="16" s="1"/>
  <c r="C6" i="16"/>
  <c r="J5" i="16" a="1"/>
  <c r="J5" i="16" s="1"/>
  <c r="I5" i="16" a="1"/>
  <c r="I5" i="16" s="1"/>
  <c r="H5" i="16"/>
  <c r="G5" i="16" a="1"/>
  <c r="G5" i="16" s="1"/>
  <c r="F5" i="16"/>
  <c r="D5" i="16"/>
  <c r="E5" i="16" s="1"/>
  <c r="C5" i="16"/>
  <c r="S4" i="16"/>
  <c r="R4" i="16"/>
  <c r="Q4" i="16"/>
  <c r="P4" i="16"/>
  <c r="O4" i="16"/>
  <c r="H4" i="16" s="1"/>
  <c r="N4" i="16"/>
  <c r="G4" i="16" s="1" a="1"/>
  <c r="G4" i="16" s="1"/>
  <c r="M4" i="16"/>
  <c r="L4" i="16"/>
  <c r="K4" i="16"/>
  <c r="I4" i="16" a="1"/>
  <c r="I4" i="16" s="1"/>
  <c r="D4" i="16"/>
  <c r="E4" i="16" s="1"/>
  <c r="C4" i="16"/>
  <c r="J3" i="16" a="1"/>
  <c r="J3" i="16" s="1"/>
  <c r="I3" i="16" a="1"/>
  <c r="I3" i="16" s="1"/>
  <c r="H3" i="16"/>
  <c r="G3" i="16" a="1"/>
  <c r="G3" i="16" s="1"/>
  <c r="F3" i="16"/>
  <c r="E3" i="16"/>
  <c r="D3" i="16"/>
  <c r="C3" i="16"/>
  <c r="S2" i="16"/>
  <c r="R2" i="16"/>
  <c r="Q2" i="16"/>
  <c r="P2" i="16"/>
  <c r="O2" i="16"/>
  <c r="H2" i="16" s="1"/>
  <c r="N2" i="16"/>
  <c r="M2" i="16"/>
  <c r="L2" i="16"/>
  <c r="K2" i="16"/>
  <c r="I2" i="16" s="1" a="1"/>
  <c r="I2" i="16" s="1"/>
  <c r="E2" i="16"/>
  <c r="D2" i="16"/>
  <c r="C2" i="16"/>
  <c r="J53" i="16" l="1" a="1"/>
  <c r="J53" i="16" s="1"/>
  <c r="J58" i="16" a="1"/>
  <c r="J58" i="16" s="1"/>
  <c r="J24" i="16" a="1"/>
  <c r="J24" i="16" s="1"/>
  <c r="J2" i="16" a="1"/>
  <c r="J2" i="16" s="1"/>
  <c r="J62" i="16" a="1"/>
  <c r="J62" i="16" s="1"/>
  <c r="G31" i="16" a="1"/>
  <c r="G31" i="16" s="1"/>
  <c r="F31" i="16" s="1"/>
  <c r="F4" i="16"/>
  <c r="J48" i="16" a="1"/>
  <c r="J48" i="16" s="1"/>
  <c r="J4" i="16" a="1"/>
  <c r="J4" i="16" s="1"/>
  <c r="J19" i="16" a="1"/>
  <c r="J19" i="16" s="1"/>
  <c r="J66" i="16" a="1"/>
  <c r="J66" i="16" s="1"/>
  <c r="G53" i="16" a="1"/>
  <c r="G53" i="16" s="1"/>
  <c r="F53" i="16" s="1"/>
  <c r="J45" i="16" a="1"/>
  <c r="J45" i="16" s="1"/>
  <c r="J12" i="16" a="1"/>
  <c r="J12" i="16" s="1"/>
  <c r="G73" i="16" a="1"/>
  <c r="G73" i="16" s="1"/>
  <c r="F73" i="16" s="1"/>
  <c r="J73" i="16" a="1"/>
  <c r="J73" i="16" s="1"/>
  <c r="G54" i="16" a="1"/>
  <c r="G54" i="16" s="1"/>
  <c r="F54" i="16" s="1"/>
  <c r="J54" i="16" a="1"/>
  <c r="J54" i="16" s="1"/>
  <c r="J52" i="16" a="1"/>
  <c r="J52" i="16" s="1"/>
  <c r="G52" i="16" a="1"/>
  <c r="G52" i="16" s="1"/>
  <c r="F52" i="16" s="1"/>
  <c r="J27" i="16" a="1"/>
  <c r="J27" i="16" s="1"/>
  <c r="J57" i="16" a="1"/>
  <c r="J57" i="16" s="1"/>
  <c r="G57" i="16" a="1"/>
  <c r="G57" i="16" s="1"/>
  <c r="F57" i="16"/>
  <c r="F62" i="16"/>
  <c r="J20" i="16" a="1"/>
  <c r="J20" i="16" s="1"/>
  <c r="J59" i="16" a="1"/>
  <c r="J59" i="16" s="1"/>
  <c r="J31" i="16" a="1"/>
  <c r="J31" i="16" s="1"/>
  <c r="F36" i="16"/>
  <c r="G2" i="16" a="1"/>
  <c r="G2" i="16" s="1"/>
  <c r="F2" i="16" s="1"/>
  <c r="J50" i="16" a="1"/>
  <c r="J50" i="16" s="1"/>
  <c r="F50" i="16"/>
  <c r="G68" i="16" a="1"/>
  <c r="G68" i="16" s="1"/>
  <c r="F68" i="16"/>
  <c r="J68" i="16" a="1"/>
  <c r="J68" i="16" s="1"/>
  <c r="G22" i="16" a="1"/>
  <c r="G22" i="16" s="1"/>
  <c r="F22" i="16" s="1"/>
  <c r="G27" i="16" a="1"/>
  <c r="G27" i="16" s="1"/>
  <c r="F27" i="16" s="1"/>
  <c r="F35" i="16"/>
  <c r="G12" i="16" a="1"/>
  <c r="G12" i="16" s="1"/>
  <c r="F12" i="16"/>
  <c r="J16" i="16" a="1"/>
  <c r="J16" i="16" s="1"/>
  <c r="G20" i="16" a="1"/>
  <c r="G20" i="16" s="1"/>
  <c r="F20" i="16" s="1"/>
  <c r="G29" i="16" a="1"/>
  <c r="G29" i="16" s="1"/>
  <c r="F29" i="16"/>
  <c r="F41" i="16"/>
  <c r="J41" i="16" a="1"/>
  <c r="J41" i="16" s="1"/>
  <c r="G59" i="16" a="1"/>
  <c r="G59" i="16" s="1"/>
  <c r="F59" i="16" s="1"/>
</calcChain>
</file>

<file path=xl/sharedStrings.xml><?xml version="1.0" encoding="utf-8"?>
<sst xmlns="http://schemas.openxmlformats.org/spreadsheetml/2006/main" count="1130" uniqueCount="530">
  <si>
    <t>Nacimiento</t>
  </si>
  <si>
    <t>Fecha carrera aux</t>
  </si>
  <si>
    <t>Edad final temporada</t>
  </si>
  <si>
    <t>Sexo</t>
  </si>
  <si>
    <t>Category</t>
  </si>
  <si>
    <t>Categoría</t>
  </si>
  <si>
    <t>MC1</t>
  </si>
  <si>
    <t>MB1</t>
  </si>
  <si>
    <t>MYC</t>
  </si>
  <si>
    <t>LN3</t>
  </si>
  <si>
    <t>LYA</t>
  </si>
  <si>
    <t>LYB</t>
  </si>
  <si>
    <t>LYC</t>
  </si>
  <si>
    <t>MN4</t>
  </si>
  <si>
    <t>MSA</t>
  </si>
  <si>
    <t>MN3</t>
  </si>
  <si>
    <t>MN1</t>
  </si>
  <si>
    <t>MA1</t>
  </si>
  <si>
    <t>MN2</t>
  </si>
  <si>
    <t>MB2</t>
  </si>
  <si>
    <t>M30</t>
  </si>
  <si>
    <t>M</t>
  </si>
  <si>
    <t>Nil Llop Izquierdo</t>
  </si>
  <si>
    <t>MA2</t>
  </si>
  <si>
    <t>M35</t>
  </si>
  <si>
    <t>MC2</t>
  </si>
  <si>
    <t>Abril del Río Calonge</t>
  </si>
  <si>
    <t>LA2</t>
  </si>
  <si>
    <t>LA1</t>
  </si>
  <si>
    <t>LSA</t>
  </si>
  <si>
    <t>LN1</t>
  </si>
  <si>
    <t>Iñigo Vidondo Fernández de Larrinoa</t>
  </si>
  <si>
    <t>URL</t>
  </si>
  <si>
    <t>LB1</t>
  </si>
  <si>
    <t>LN2</t>
  </si>
  <si>
    <t>Manel Robla Espí</t>
  </si>
  <si>
    <t>LB2</t>
  </si>
  <si>
    <t>Manuel Taibo González</t>
  </si>
  <si>
    <t>Daniel Milagros Herze</t>
  </si>
  <si>
    <t>Sergi Álvarez Fernández</t>
  </si>
  <si>
    <t>Alexander Rezzonico Blanco</t>
  </si>
  <si>
    <t>LC1</t>
  </si>
  <si>
    <t>Iván Roldán Ferrer</t>
  </si>
  <si>
    <t>Ignacio Morán Casas</t>
  </si>
  <si>
    <t>Raúl Jardim Barba</t>
  </si>
  <si>
    <t>LC2</t>
  </si>
  <si>
    <t>Gonzalo Ferraz García</t>
  </si>
  <si>
    <t>Iker Ruiz Cortés</t>
  </si>
  <si>
    <t>Aitor Sánchez Fernández</t>
  </si>
  <si>
    <t>Asier Peña Iturria</t>
  </si>
  <si>
    <t>Rafael Heredia Barba</t>
  </si>
  <si>
    <t>Stéphane Barbera Peraleda</t>
  </si>
  <si>
    <t>Marcos Vicos Deus</t>
  </si>
  <si>
    <t>Daniel Garro Martínez</t>
  </si>
  <si>
    <t>Christopher López Osorio</t>
  </si>
  <si>
    <t>Jorge Vega Fernández</t>
  </si>
  <si>
    <t>Carles Mesado Meliá</t>
  </si>
  <si>
    <t>Alex Nieto Guarasa</t>
  </si>
  <si>
    <t>Lucas Orzanco Iraizoz</t>
  </si>
  <si>
    <t>Adriá Fernández Torres</t>
  </si>
  <si>
    <t>Pedro Andrés López García</t>
  </si>
  <si>
    <t>Marcello Bresin</t>
  </si>
  <si>
    <t>Pau Chorro Luque</t>
  </si>
  <si>
    <t>Alejandro Jiménez Querencias</t>
  </si>
  <si>
    <t>Antonio Gómez Fernández</t>
  </si>
  <si>
    <t>Sergio Borja García García</t>
  </si>
  <si>
    <t>Francisco Aparicio Navarro</t>
  </si>
  <si>
    <t>Jhoan Sebastián Guzmán Bitar</t>
  </si>
  <si>
    <t>Alberto López Muñoz</t>
  </si>
  <si>
    <t>Ronan Sanchez Garcia</t>
  </si>
  <si>
    <t>Adriá Rodríguez</t>
  </si>
  <si>
    <t>Ramón Franquesa</t>
  </si>
  <si>
    <t>Samuel Granada García</t>
  </si>
  <si>
    <t>Nil Cañizares Rentero</t>
  </si>
  <si>
    <t>Jorge Fernández Cantero</t>
  </si>
  <si>
    <t>LN4</t>
  </si>
  <si>
    <t>Daniel Ruiz</t>
  </si>
  <si>
    <t>F</t>
  </si>
  <si>
    <t>Sara Cabrera Casino</t>
  </si>
  <si>
    <t>Ona Rodríguez Cornejo</t>
  </si>
  <si>
    <t>Teresa Moreno Balagué</t>
  </si>
  <si>
    <t>Ainoa Carreño Peris</t>
  </si>
  <si>
    <t>Luisa González Salazar</t>
  </si>
  <si>
    <t>Valentina Mendoza Álvarez</t>
  </si>
  <si>
    <t>Oliegtnis Mercado Rodríguez</t>
  </si>
  <si>
    <t>Paula Espín Real</t>
  </si>
  <si>
    <t>Sheila Gómez Fernández</t>
  </si>
  <si>
    <t>Beatriu Gómez Franquet</t>
  </si>
  <si>
    <t>Julia Espín Real</t>
  </si>
  <si>
    <t>Lucía Alapont Martínez</t>
  </si>
  <si>
    <t>Mireia Téllez Nin</t>
  </si>
  <si>
    <t>Mónica Seoane Pujol</t>
  </si>
  <si>
    <t>Alba Antolín Fernández</t>
  </si>
  <si>
    <t>Nerea Langa Torres</t>
  </si>
  <si>
    <t>Natalia Vidal Ponce</t>
  </si>
  <si>
    <t>Hannah Llop Izquierdo</t>
  </si>
  <si>
    <t>Mar Ayzagar Mayor</t>
  </si>
  <si>
    <t>Elena Díaz Martín</t>
  </si>
  <si>
    <t>Carla Álvarez Fernández</t>
  </si>
  <si>
    <t>María Botero Arceiz</t>
  </si>
  <si>
    <t>Llanos Fernández García</t>
  </si>
  <si>
    <t>Inés González de la Fuente</t>
  </si>
  <si>
    <t>Andrea Arregui García</t>
  </si>
  <si>
    <t>Celia Cerisola Barrios</t>
  </si>
  <si>
    <t>Verónica Freire Bodas</t>
  </si>
  <si>
    <t>Alba Ruiz Corral</t>
  </si>
  <si>
    <t>María Rodríguez</t>
  </si>
  <si>
    <t>Martina Fernández Monsalve</t>
  </si>
  <si>
    <t>Lola Ruiz Cortés</t>
  </si>
  <si>
    <t>Irina Cañizares Rentero</t>
  </si>
  <si>
    <t>Marta Ibarrondo</t>
  </si>
  <si>
    <t>M40</t>
  </si>
  <si>
    <t>Inzell</t>
  </si>
  <si>
    <t>Calgary</t>
  </si>
  <si>
    <t>Heerenveen</t>
  </si>
  <si>
    <t>MYA</t>
  </si>
  <si>
    <t>Zakopane</t>
  </si>
  <si>
    <t>Collalbo</t>
  </si>
  <si>
    <t>Baselga di Pinè</t>
  </si>
  <si>
    <t>Hamar</t>
  </si>
  <si>
    <t>Kolomna</t>
  </si>
  <si>
    <t>Sanok</t>
  </si>
  <si>
    <t>Innsbruck</t>
  </si>
  <si>
    <t>Erfurt</t>
  </si>
  <si>
    <t>Lugar</t>
  </si>
  <si>
    <t>Júnior</t>
  </si>
  <si>
    <t>Amaiur Amenábar Igartúa</t>
  </si>
  <si>
    <t>Heerenveen (NED)</t>
  </si>
  <si>
    <t>NK Clubs 2026</t>
  </si>
  <si>
    <t>Temporada</t>
  </si>
  <si>
    <t>Absoluta</t>
  </si>
  <si>
    <t>Año primero temporada</t>
  </si>
  <si>
    <t>f</t>
  </si>
  <si>
    <t>Minsk</t>
  </si>
  <si>
    <t>2024-2025</t>
  </si>
  <si>
    <t>Edad</t>
  </si>
  <si>
    <t>DIstancia</t>
  </si>
  <si>
    <t>jr</t>
  </si>
  <si>
    <t>sr</t>
  </si>
  <si>
    <t>m</t>
  </si>
  <si>
    <t>INDICE</t>
  </si>
  <si>
    <t>Nombre patinador</t>
  </si>
  <si>
    <t>ID</t>
  </si>
  <si>
    <t>Competicion mas reciente</t>
  </si>
  <si>
    <t>Fecha fin</t>
  </si>
  <si>
    <t>Enlace</t>
  </si>
  <si>
    <t>http://speedskatingresults.com/index.php?p=2&amp;e=32120&amp;s=114671</t>
  </si>
  <si>
    <t>Informacion obtenida de:</t>
  </si>
  <si>
    <t>International Thialf Race</t>
  </si>
  <si>
    <t>http://speedskatingresults.com/index.php?p=2&amp;e=32109&amp;s=79811</t>
  </si>
  <si>
    <t xml:space="preserve"> https://speedskatingresults.com/</t>
  </si>
  <si>
    <t>M55</t>
  </si>
  <si>
    <t>M+</t>
  </si>
  <si>
    <t>M45</t>
  </si>
  <si>
    <t>Camilo Sánchez Restrepo</t>
  </si>
  <si>
    <t>Berta Costafreda</t>
  </si>
  <si>
    <t>L35</t>
  </si>
  <si>
    <t>Nombre</t>
  </si>
  <si>
    <t>Speedskating Id</t>
  </si>
  <si>
    <t>Skater</t>
  </si>
  <si>
    <t>Season</t>
  </si>
  <si>
    <t>Competitions Id</t>
  </si>
  <si>
    <t>Competitions Name</t>
  </si>
  <si>
    <t>Competitions Startdate</t>
  </si>
  <si>
    <t>Competitions Enddate</t>
  </si>
  <si>
    <t>Competitions Location</t>
  </si>
  <si>
    <t>Competitions Trackid</t>
  </si>
  <si>
    <t>Competitions Link</t>
  </si>
  <si>
    <r>
      <rPr>
        <sz val="10"/>
        <rFont val="Arial"/>
      </rPr>
      <t xml:space="preserve">De </t>
    </r>
    <r>
      <rPr>
        <u/>
        <sz val="10"/>
        <color rgb="FF1155CC"/>
        <rFont val="Arial"/>
      </rPr>
      <t>https://speedskatingresults.com/</t>
    </r>
  </si>
  <si>
    <t>A</t>
  </si>
  <si>
    <t>Primera Letra</t>
  </si>
  <si>
    <t>B</t>
  </si>
  <si>
    <t>C</t>
  </si>
  <si>
    <t>D</t>
  </si>
  <si>
    <t>E</t>
  </si>
  <si>
    <t>G</t>
  </si>
  <si>
    <t>H</t>
  </si>
  <si>
    <t>I</t>
  </si>
  <si>
    <t>J</t>
  </si>
  <si>
    <t>K</t>
  </si>
  <si>
    <t>L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</si>
  <si>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</si>
  <si>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</si>
  <si>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</si>
  <si>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</si>
  <si>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</si>
  <si>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</si>
  <si>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</si>
  <si>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</si>
  <si>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</si>
  <si>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</si>
  <si>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</si>
  <si>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</si>
  <si>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</si>
  <si>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B2</t>
  </si>
  <si>
    <t>Milan</t>
  </si>
  <si>
    <t>País</t>
  </si>
  <si>
    <t>Id. Pista</t>
  </si>
  <si>
    <t>Adavere</t>
  </si>
  <si>
    <t>EST</t>
  </si>
  <si>
    <t>Akan</t>
  </si>
  <si>
    <t>JPN</t>
  </si>
  <si>
    <t>Alkmaar</t>
  </si>
  <si>
    <t>NED</t>
  </si>
  <si>
    <t>Almaty</t>
  </si>
  <si>
    <t>KAZ</t>
  </si>
  <si>
    <t>Alta</t>
  </si>
  <si>
    <t>NOR</t>
  </si>
  <si>
    <t>Ammerstol</t>
  </si>
  <si>
    <t>Amsterdam</t>
  </si>
  <si>
    <t>JR</t>
  </si>
  <si>
    <t>Amsterdam-Olympic</t>
  </si>
  <si>
    <t>Anchorage</t>
  </si>
  <si>
    <t>USA</t>
  </si>
  <si>
    <t>C1</t>
  </si>
  <si>
    <t>Arendal</t>
  </si>
  <si>
    <t>C2</t>
  </si>
  <si>
    <t>Arkhangelsk-Dinamo</t>
  </si>
  <si>
    <t>RUS</t>
  </si>
  <si>
    <t>Arkhangelsk-Trud</t>
  </si>
  <si>
    <t>B1</t>
  </si>
  <si>
    <t>Arsenev</t>
  </si>
  <si>
    <t>Asahikawa</t>
  </si>
  <si>
    <t>A1</t>
  </si>
  <si>
    <t>Asama</t>
  </si>
  <si>
    <t>A2</t>
  </si>
  <si>
    <t>Asker</t>
  </si>
  <si>
    <t>N1</t>
  </si>
  <si>
    <t>Assen</t>
  </si>
  <si>
    <t>N2</t>
  </si>
  <si>
    <t>N3</t>
  </si>
  <si>
    <t>Astana</t>
  </si>
  <si>
    <t>N4</t>
  </si>
  <si>
    <t>Barnaul</t>
  </si>
  <si>
    <t>SA</t>
  </si>
  <si>
    <t>Basel</t>
  </si>
  <si>
    <t>SUI</t>
  </si>
  <si>
    <t>YF</t>
  </si>
  <si>
    <t>YE</t>
  </si>
  <si>
    <t>ITA</t>
  </si>
  <si>
    <t>YD</t>
  </si>
  <si>
    <t>Beijing-Erqi</t>
  </si>
  <si>
    <t>YC</t>
  </si>
  <si>
    <t>CHN</t>
  </si>
  <si>
    <t>YB</t>
  </si>
  <si>
    <t>Beijing-National</t>
  </si>
  <si>
    <t>YA</t>
  </si>
  <si>
    <t>Bergen</t>
  </si>
  <si>
    <t>Berlin</t>
  </si>
  <si>
    <t>GER</t>
  </si>
  <si>
    <t>Berlin-Wilmersdorf</t>
  </si>
  <si>
    <t>Birobidzhan</t>
  </si>
  <si>
    <t>Bjugn</t>
  </si>
  <si>
    <t>Bogdanovich</t>
  </si>
  <si>
    <t>Borlänge</t>
  </si>
  <si>
    <t>SWE</t>
  </si>
  <si>
    <t>Breda</t>
  </si>
  <si>
    <t>Budapest</t>
  </si>
  <si>
    <t>HUN</t>
  </si>
  <si>
    <t>Båstad</t>
  </si>
  <si>
    <t>CAN</t>
  </si>
  <si>
    <t>Changchun</t>
  </si>
  <si>
    <t>Cheboksary</t>
  </si>
  <si>
    <t>Chelyabinsk</t>
  </si>
  <si>
    <t>Chelyabinsk-Inga</t>
  </si>
  <si>
    <t>Chemnitz</t>
  </si>
  <si>
    <t>Cherepovecz</t>
  </si>
  <si>
    <t>Chino</t>
  </si>
  <si>
    <t>Chita</t>
  </si>
  <si>
    <t>Crimmitschau</t>
  </si>
  <si>
    <t>Daqing</t>
  </si>
  <si>
    <t>Davos</t>
  </si>
  <si>
    <t>Dawson Creek</t>
  </si>
  <si>
    <t>Den Haag</t>
  </si>
  <si>
    <t>Deventer</t>
  </si>
  <si>
    <t>Divnogorsk</t>
  </si>
  <si>
    <t>Drammen</t>
  </si>
  <si>
    <t>Dresden</t>
  </si>
  <si>
    <t>Dronten</t>
  </si>
  <si>
    <t>Ede</t>
  </si>
  <si>
    <t>Edmonton</t>
  </si>
  <si>
    <t>Eidsvoll</t>
  </si>
  <si>
    <t>Eindhoven</t>
  </si>
  <si>
    <t>Ekaterinburg</t>
  </si>
  <si>
    <t>El Calafate</t>
  </si>
  <si>
    <t>ARG</t>
  </si>
  <si>
    <t>Elbląg</t>
  </si>
  <si>
    <t>POL</t>
  </si>
  <si>
    <t>Ena</t>
  </si>
  <si>
    <t>Enschede</t>
  </si>
  <si>
    <t>Erdenet</t>
  </si>
  <si>
    <t>MGL</t>
  </si>
  <si>
    <t>Eskilstuna</t>
  </si>
  <si>
    <t>Falun</t>
  </si>
  <si>
    <t>Fort St. James</t>
  </si>
  <si>
    <t>Fort St. John</t>
  </si>
  <si>
    <t>Frankfurt</t>
  </si>
  <si>
    <t>Frösön</t>
  </si>
  <si>
    <t>Fujiyoshida</t>
  </si>
  <si>
    <t>Fukang</t>
  </si>
  <si>
    <t>Fushun</t>
  </si>
  <si>
    <t>Gangneung</t>
  </si>
  <si>
    <t>KOR</t>
  </si>
  <si>
    <t>Geithus</t>
  </si>
  <si>
    <t>Geleen</t>
  </si>
  <si>
    <t>Gjøvik</t>
  </si>
  <si>
    <t>Gol</t>
  </si>
  <si>
    <t>Grefrath</t>
  </si>
  <si>
    <t>Groningen</t>
  </si>
  <si>
    <t>Grou</t>
  </si>
  <si>
    <t>Göteborg - Ishall</t>
  </si>
  <si>
    <t>Göteborg - Skrinnarhall</t>
  </si>
  <si>
    <t>Haaksbergen</t>
  </si>
  <si>
    <t>Haarlem</t>
  </si>
  <si>
    <t>Hachinohe - YS Arena</t>
  </si>
  <si>
    <t>Hachinohe-Piping</t>
  </si>
  <si>
    <t>Hagaström</t>
  </si>
  <si>
    <t>Hailar</t>
  </si>
  <si>
    <t>Halifax</t>
  </si>
  <si>
    <t>Harbin</t>
  </si>
  <si>
    <t>Harstad</t>
  </si>
  <si>
    <t>Helsinki</t>
  </si>
  <si>
    <t>FIN</t>
  </si>
  <si>
    <t>Hengelo</t>
  </si>
  <si>
    <t>Hol</t>
  </si>
  <si>
    <t>Holmestrand</t>
  </si>
  <si>
    <t>Hoorn</t>
  </si>
  <si>
    <t>Hundorp</t>
  </si>
  <si>
    <t>AUT</t>
  </si>
  <si>
    <t>Irkutsk-Baikal</t>
  </si>
  <si>
    <t>Irkutsk-Trud</t>
  </si>
  <si>
    <t>Ivanovo</t>
  </si>
  <si>
    <t>Izhevsk</t>
  </si>
  <si>
    <t>Jevnaker</t>
  </si>
  <si>
    <t>Jyväskylä</t>
  </si>
  <si>
    <t>Kansk</t>
  </si>
  <si>
    <t>Karlstad</t>
  </si>
  <si>
    <t>Karuizawa</t>
  </si>
  <si>
    <t>Kazan</t>
  </si>
  <si>
    <t>Kemerovo</t>
  </si>
  <si>
    <t>Khabarovsk</t>
  </si>
  <si>
    <t>Kirov</t>
  </si>
  <si>
    <t>Kirovo-Chepeczk</t>
  </si>
  <si>
    <t>Kitami</t>
  </si>
  <si>
    <t>Kolosovka</t>
  </si>
  <si>
    <t>Kongsberg</t>
  </si>
  <si>
    <t>Kongsvinger</t>
  </si>
  <si>
    <t>Koriyama</t>
  </si>
  <si>
    <t>Kostanaj</t>
  </si>
  <si>
    <t>Koumi</t>
  </si>
  <si>
    <t>Krasnoturinsk</t>
  </si>
  <si>
    <t>Krasnoyarsk</t>
  </si>
  <si>
    <t>Kristiansund</t>
  </si>
  <si>
    <t>Kristinehamn</t>
  </si>
  <si>
    <t>Kungur</t>
  </si>
  <si>
    <t>Kuopio</t>
  </si>
  <si>
    <t>Kushiro</t>
  </si>
  <si>
    <t>Kvam-Norheimsund</t>
  </si>
  <si>
    <t>København</t>
  </si>
  <si>
    <t>DEN</t>
  </si>
  <si>
    <t>Lake Placid</t>
  </si>
  <si>
    <t>Larvik</t>
  </si>
  <si>
    <t>Leeuwarden</t>
  </si>
  <si>
    <t>Leh Ladakh</t>
  </si>
  <si>
    <t>IND</t>
  </si>
  <si>
    <t>Leiden</t>
  </si>
  <si>
    <t>Leppävirta</t>
  </si>
  <si>
    <t>Lesnoj</t>
  </si>
  <si>
    <t>Losser</t>
  </si>
  <si>
    <t>Lubin</t>
  </si>
  <si>
    <t>Lærdal</t>
  </si>
  <si>
    <t>Makinsk</t>
  </si>
  <si>
    <t>Milwaukee</t>
  </si>
  <si>
    <t>BLR</t>
  </si>
  <si>
    <t>Minusinsk</t>
  </si>
  <si>
    <t>Monchegorsk</t>
  </si>
  <si>
    <t>Moose Jaw</t>
  </si>
  <si>
    <t>Morioka</t>
  </si>
  <si>
    <t>Moscow</t>
  </si>
  <si>
    <t>Moscow-Luzhniki</t>
  </si>
  <si>
    <t>Motala</t>
  </si>
  <si>
    <t>Murmansk</t>
  </si>
  <si>
    <t>Murom</t>
  </si>
  <si>
    <t>München</t>
  </si>
  <si>
    <t>Nagano</t>
  </si>
  <si>
    <t>Nakashibetsu</t>
  </si>
  <si>
    <t>Narvik</t>
  </si>
  <si>
    <t>Nemuro</t>
  </si>
  <si>
    <t>Nijmegen</t>
  </si>
  <si>
    <t>Nikko</t>
  </si>
  <si>
    <t>Nizhny Novgorod</t>
  </si>
  <si>
    <t>Norheimsund</t>
  </si>
  <si>
    <t>Notodden</t>
  </si>
  <si>
    <t>Novocheboksarsk</t>
  </si>
  <si>
    <t>Novouralsk</t>
  </si>
  <si>
    <t>Obihiro</t>
  </si>
  <si>
    <t>Okaya</t>
  </si>
  <si>
    <t>Olenegorsk</t>
  </si>
  <si>
    <t>Omsk</t>
  </si>
  <si>
    <t>Oslo - Frogner</t>
  </si>
  <si>
    <t>Oslo - Valle Hovin</t>
  </si>
  <si>
    <t>Ottawa</t>
  </si>
  <si>
    <t>Oulu - Pateniemen</t>
  </si>
  <si>
    <t>Oulu - Raksila</t>
  </si>
  <si>
    <t>Perm - Dinamo</t>
  </si>
  <si>
    <t>Perm - Yunost</t>
  </si>
  <si>
    <t>Pijnacker</t>
  </si>
  <si>
    <t>Pori</t>
  </si>
  <si>
    <t>Prince George</t>
  </si>
  <si>
    <t>Pujon</t>
  </si>
  <si>
    <t>PRK</t>
  </si>
  <si>
    <t>Qiqihar</t>
  </si>
  <si>
    <t>Quebec City</t>
  </si>
  <si>
    <t>Quebec City-Boucher</t>
  </si>
  <si>
    <t>Red Deer</t>
  </si>
  <si>
    <t>Regina</t>
  </si>
  <si>
    <t>Richmond</t>
  </si>
  <si>
    <t>Roseville</t>
  </si>
  <si>
    <t>Rotterdam</t>
  </si>
  <si>
    <t>Saint Petersburg</t>
  </si>
  <si>
    <t>Sala</t>
  </si>
  <si>
    <t>Salt Lake City</t>
  </si>
  <si>
    <t>Samjion</t>
  </si>
  <si>
    <t>Sand</t>
  </si>
  <si>
    <t>Sandefjord</t>
  </si>
  <si>
    <t>Sandviken</t>
  </si>
  <si>
    <t>Sapporo</t>
  </si>
  <si>
    <t>Saratov</t>
  </si>
  <si>
    <t>Saskatoon</t>
  </si>
  <si>
    <t>Sault Sainte Marie</t>
  </si>
  <si>
    <t>Seinäjoki</t>
  </si>
  <si>
    <t>Selenginsk</t>
  </si>
  <si>
    <t>Seoul</t>
  </si>
  <si>
    <t>Severouralsk</t>
  </si>
  <si>
    <t>Seversk</t>
  </si>
  <si>
    <t>Shenyang</t>
  </si>
  <si>
    <t>Shhuchinsk</t>
  </si>
  <si>
    <t>Shibukawa</t>
  </si>
  <si>
    <t>Shostka</t>
  </si>
  <si>
    <t>UKR</t>
  </si>
  <si>
    <t>Shushenskoe</t>
  </si>
  <si>
    <t>Skien</t>
  </si>
  <si>
    <t>Skjervøy</t>
  </si>
  <si>
    <t>Skreia</t>
  </si>
  <si>
    <t>Skutskär</t>
  </si>
  <si>
    <t>Sochi</t>
  </si>
  <si>
    <t>Sollentuna</t>
  </si>
  <si>
    <t>Sortavala</t>
  </si>
  <si>
    <t>St. Moritz</t>
  </si>
  <si>
    <t>Stange</t>
  </si>
  <si>
    <t>Stavanger</t>
  </si>
  <si>
    <t>Stockholm</t>
  </si>
  <si>
    <t>Stord</t>
  </si>
  <si>
    <t>Studnice u Hlinsko</t>
  </si>
  <si>
    <t>CZE</t>
  </si>
  <si>
    <t>Sundsvall</t>
  </si>
  <si>
    <t>Syktyvkar</t>
  </si>
  <si>
    <t>Tallinn</t>
  </si>
  <si>
    <t>Tambov</t>
  </si>
  <si>
    <t>Tampere-Pyynikin</t>
  </si>
  <si>
    <t>Tampere-Sorsapuiston</t>
  </si>
  <si>
    <t>Tierra del Fuego</t>
  </si>
  <si>
    <t>Tilburg</t>
  </si>
  <si>
    <t>Tomakomai</t>
  </si>
  <si>
    <t>Tomaszów-Mazowiecki</t>
  </si>
  <si>
    <t>Torino</t>
  </si>
  <si>
    <t>Trollhättan</t>
  </si>
  <si>
    <t>Tromsø</t>
  </si>
  <si>
    <t>Trondheim-Leangen</t>
  </si>
  <si>
    <t>Tula</t>
  </si>
  <si>
    <t>Tynset</t>
  </si>
  <si>
    <t>Tønsberg</t>
  </si>
  <si>
    <t>Ulaanbaatar</t>
  </si>
  <si>
    <t>Uppsala</t>
  </si>
  <si>
    <t>Urumqi</t>
  </si>
  <si>
    <t>Ushuaia</t>
  </si>
  <si>
    <t>Ust-Ishim</t>
  </si>
  <si>
    <t>Utrecht</t>
  </si>
  <si>
    <t>Valkeakoski</t>
  </si>
  <si>
    <t>Viljandi</t>
  </si>
  <si>
    <t>Vologda</t>
  </si>
  <si>
    <t>Västerås</t>
  </si>
  <si>
    <t>Wangqing</t>
  </si>
  <si>
    <t>Warsaw</t>
  </si>
  <si>
    <t>Weiteveen</t>
  </si>
  <si>
    <t>Whitehorse</t>
  </si>
  <si>
    <t>Winnipeg</t>
  </si>
  <si>
    <t>Wirdum</t>
  </si>
  <si>
    <t>Yamagata</t>
  </si>
  <si>
    <t>Yanji</t>
  </si>
  <si>
    <t>Yatsugatake</t>
  </si>
  <si>
    <t>Zarechnyj</t>
  </si>
  <si>
    <t>Zenderen</t>
  </si>
  <si>
    <t>Zerenda</t>
  </si>
  <si>
    <t>Zlatoust</t>
  </si>
  <si>
    <t>Zoetermeer</t>
  </si>
  <si>
    <t>Zürich</t>
  </si>
  <si>
    <t>Åmli-Dølemo</t>
  </si>
  <si>
    <t>Örebro</t>
  </si>
  <si>
    <t>Östersund</t>
  </si>
  <si>
    <t>Žďár nad Sázavou</t>
  </si>
  <si>
    <t>Aux cadena</t>
  </si>
  <si>
    <t>Youth</t>
  </si>
  <si>
    <t>JA</t>
  </si>
  <si>
    <t>JB</t>
  </si>
  <si>
    <t>JC</t>
  </si>
  <si>
    <t>Neo</t>
  </si>
  <si>
    <t>Sénior</t>
  </si>
  <si>
    <t>Sénior + Neo</t>
  </si>
  <si>
    <t>Máster</t>
  </si>
  <si>
    <t>00</t>
  </si>
  <si>
    <t>Distancias</t>
  </si>
  <si>
    <t>CaT-F</t>
  </si>
  <si>
    <t>CaT-M</t>
  </si>
  <si>
    <t>L+</t>
  </si>
  <si>
    <t>L60</t>
  </si>
  <si>
    <t>M60</t>
  </si>
  <si>
    <t>L55</t>
  </si>
  <si>
    <t>L50</t>
  </si>
  <si>
    <t>M50</t>
  </si>
  <si>
    <t>L45</t>
  </si>
  <si>
    <t>L40</t>
  </si>
  <si>
    <t>L30</t>
  </si>
  <si>
    <t>MYB</t>
  </si>
  <si>
    <t>LYD</t>
  </si>
  <si>
    <t>MYD</t>
  </si>
  <si>
    <t>LYE</t>
  </si>
  <si>
    <t>MYE</t>
  </si>
  <si>
    <t>LYF</t>
  </si>
  <si>
    <t>MYF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</si>
</sst>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yy"/>
    <numFmt numFmtId="165" formatCode="d/mm/yyyy"/>
    <numFmt numFmtId="166" formatCode="yyyy&quot;-&quot;mm&quot;-&quot;dd"/>
  </numFmts>
  <fonts count="16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2"/>
      <color rgb="FF000000"/>
      <name val="Calibri"/>
    </font>
    <font>
      <sz val="9"/>
      <color rgb="FF000000"/>
      <name val="&quot;Google Sans Mono&quot;"/>
    </font>
    <font>
      <u/>
      <sz val="10"/>
      <color rgb="FF0000FF"/>
      <name val="Arial"/>
    </font>
    <font>
      <sz val="10"/>
      <color theme="1"/>
      <name val="Arial"/>
    </font>
    <font>
      <b/>
      <sz val="10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2"/>
      <color theme="1"/>
      <name val="Calibri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5" borderId="0" xfId="0" applyFont="1" applyFill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0" fontId="6" fillId="4" borderId="0" xfId="0" applyFont="1" applyFill="1" applyAlignment="1">
      <alignment horizontal="center"/>
    </xf>
    <xf numFmtId="0" fontId="9" fillId="0" borderId="0" xfId="0" applyFont="1"/>
    <xf numFmtId="0" fontId="6" fillId="5" borderId="0" xfId="0" applyFont="1" applyFill="1"/>
    <xf numFmtId="0" fontId="6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1" fillId="0" borderId="0" xfId="0" applyFont="1"/>
    <xf numFmtId="0" fontId="7" fillId="3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14" fontId="1" fillId="0" borderId="0" xfId="0" applyNumberFormat="1" applyFont="1" applyAlignment="1">
      <alignment horizontal="center"/>
    </xf>
    <xf numFmtId="0" fontId="6" fillId="6" borderId="0" xfId="0" applyFont="1" applyFill="1"/>
    <xf numFmtId="0" fontId="14" fillId="0" borderId="0" xfId="0" applyFont="1"/>
    <xf numFmtId="164" fontId="6" fillId="0" borderId="0" xfId="0" applyNumberFormat="1" applyFont="1" applyAlignment="1">
      <alignment horizontal="center"/>
    </xf>
    <xf numFmtId="0" fontId="6" fillId="0" borderId="0" xfId="0" quotePrefix="1" applyFont="1"/>
    <xf numFmtId="0" fontId="2" fillId="7" borderId="1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</dxfs>
  <tableStyles count="6">
    <tableStyle name="Histórico español-style" pivot="0" count="2" xr9:uid="{00000000-0011-0000-FFFF-FFFF00000000}">
      <tableStyleElement type="firstRowStripe" dxfId="11"/>
      <tableStyleElement type="secondRowStripe" dxfId="10"/>
    </tableStyle>
    <tableStyle name="Histórico español-style 2" pivot="0" count="2" xr9:uid="{00000000-0011-0000-FFFF-FFFF01000000}">
      <tableStyleElement type="firstRowStripe" dxfId="9"/>
      <tableStyleElement type="secondRowStripe" dxfId="8"/>
    </tableStyle>
    <tableStyle name="Histórico español-style 3" pivot="0" count="2" xr9:uid="{00000000-0011-0000-FFFF-FFFF02000000}">
      <tableStyleElement type="firstRowStripe" dxfId="7"/>
      <tableStyleElement type="secondRowStripe" dxfId="6"/>
    </tableStyle>
    <tableStyle name="Histórico español-style 4" pivot="0" count="2" xr9:uid="{00000000-0011-0000-FFFF-FFFF03000000}">
      <tableStyleElement type="firstRowStripe" dxfId="5"/>
      <tableStyleElement type="secondRowStripe" dxfId="4"/>
    </tableStyle>
    <tableStyle name="Histórico español-style 5" pivot="0" count="2" xr9:uid="{00000000-0011-0000-FFFF-FFFF04000000}">
      <tableStyleElement type="firstRowStripe" dxfId="3"/>
      <tableStyleElement type="secondRowStripe" dxfId="2"/>
    </tableStyle>
    <tableStyle name="Histórico español-style 6" pivot="0" count="2" xr9:uid="{00000000-0011-0000-FFFF-FFFF05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238125</xdr:rowOff>
    </xdr:from>
    <xdr:ext cx="268605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peedskatingresults.com/" TargetMode="External"/><Relationship Id="rId2" Type="http://schemas.openxmlformats.org/officeDocument/2006/relationships/hyperlink" Target="http://speedskatingresults.com/index.php?p=2&amp;e=32109&amp;s=79811" TargetMode="External"/><Relationship Id="rId1" Type="http://schemas.openxmlformats.org/officeDocument/2006/relationships/hyperlink" Target="http://speedskatingresults.com/index.php?p=2&amp;e=32120&amp;s=114671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speedskatingresults.com/index.php?p=2&amp;e=31773&amp;s=86207" TargetMode="External"/><Relationship Id="rId13" Type="http://schemas.openxmlformats.org/officeDocument/2006/relationships/hyperlink" Target="http://speedskatingresults.com/index.php?p=2&amp;e=32048&amp;s=114228" TargetMode="External"/><Relationship Id="rId18" Type="http://schemas.openxmlformats.org/officeDocument/2006/relationships/hyperlink" Target="http://speedskatingresults.com/index.php?p=2&amp;e=31719&amp;s=89457" TargetMode="External"/><Relationship Id="rId26" Type="http://schemas.openxmlformats.org/officeDocument/2006/relationships/hyperlink" Target="http://speedskatingresults.com/index.php?p=2&amp;e=31773&amp;s=79811" TargetMode="External"/><Relationship Id="rId3" Type="http://schemas.openxmlformats.org/officeDocument/2006/relationships/hyperlink" Target="https://speedskatingresults.com/" TargetMode="External"/><Relationship Id="rId21" Type="http://schemas.openxmlformats.org/officeDocument/2006/relationships/hyperlink" Target="http://speedskatingresults.com/index.php?p=2&amp;e=30591&amp;s=94320" TargetMode="External"/><Relationship Id="rId7" Type="http://schemas.openxmlformats.org/officeDocument/2006/relationships/hyperlink" Target="http://speedskatingresults.com/index.php?p=2&amp;e=30591&amp;s=115280" TargetMode="External"/><Relationship Id="rId12" Type="http://schemas.openxmlformats.org/officeDocument/2006/relationships/hyperlink" Target="http://speedskatingresults.com/index.php?p=2&amp;e=30591&amp;s=99863" TargetMode="External"/><Relationship Id="rId17" Type="http://schemas.openxmlformats.org/officeDocument/2006/relationships/hyperlink" Target="http://speedskatingresults.com/index.php?p=2&amp;e=31719&amp;s=92534" TargetMode="External"/><Relationship Id="rId25" Type="http://schemas.openxmlformats.org/officeDocument/2006/relationships/hyperlink" Target="http://speedskatingresults.com/index.php?p=2&amp;e=31719&amp;s=83279" TargetMode="External"/><Relationship Id="rId2" Type="http://schemas.openxmlformats.org/officeDocument/2006/relationships/hyperlink" Target="http://speedskatingresults.com/index.php?p=2&amp;e=31773&amp;s=63475" TargetMode="External"/><Relationship Id="rId16" Type="http://schemas.openxmlformats.org/officeDocument/2006/relationships/hyperlink" Target="http://speedskatingresults.com/index.php?p=2&amp;e=31847&amp;s=57301" TargetMode="External"/><Relationship Id="rId20" Type="http://schemas.openxmlformats.org/officeDocument/2006/relationships/hyperlink" Target="http://speedskatingresults.com/index.php?p=2&amp;e=31588&amp;s=108342" TargetMode="External"/><Relationship Id="rId29" Type="http://schemas.openxmlformats.org/officeDocument/2006/relationships/hyperlink" Target="http://speedskatingresults.com/index.php?p=2&amp;e=30908&amp;s=83554" TargetMode="External"/><Relationship Id="rId1" Type="http://schemas.openxmlformats.org/officeDocument/2006/relationships/hyperlink" Target="http://speedskatingresults.com/index.php?p=2&amp;e=31773&amp;s=93128" TargetMode="External"/><Relationship Id="rId6" Type="http://schemas.openxmlformats.org/officeDocument/2006/relationships/hyperlink" Target="http://speedskatingresults.com/index.php?p=2&amp;e=31719&amp;s=114671" TargetMode="External"/><Relationship Id="rId11" Type="http://schemas.openxmlformats.org/officeDocument/2006/relationships/hyperlink" Target="http://speedskatingresults.com/index.php?p=2&amp;e=30591&amp;s=114229" TargetMode="External"/><Relationship Id="rId24" Type="http://schemas.openxmlformats.org/officeDocument/2006/relationships/hyperlink" Target="http://speedskatingresults.com/index.php?p=2&amp;e=31719&amp;s=75917" TargetMode="External"/><Relationship Id="rId5" Type="http://schemas.openxmlformats.org/officeDocument/2006/relationships/hyperlink" Target="http://speedskatingresults.com/index.php?p=2&amp;e=30591&amp;s=120619" TargetMode="External"/><Relationship Id="rId15" Type="http://schemas.openxmlformats.org/officeDocument/2006/relationships/hyperlink" Target="http://speedskatingresults.com/index.php?p=2&amp;e=31912&amp;s=106065" TargetMode="External"/><Relationship Id="rId23" Type="http://schemas.openxmlformats.org/officeDocument/2006/relationships/hyperlink" Target="http://speedskatingresults.com/index.php?p=2&amp;e=32050&amp;s=5540" TargetMode="External"/><Relationship Id="rId28" Type="http://schemas.openxmlformats.org/officeDocument/2006/relationships/hyperlink" Target="http://speedskatingresults.com/index.php?p=2&amp;e=31773&amp;s=106985" TargetMode="External"/><Relationship Id="rId10" Type="http://schemas.openxmlformats.org/officeDocument/2006/relationships/hyperlink" Target="http://speedskatingresults.com/index.php?p=2&amp;e=31719&amp;s=106984" TargetMode="External"/><Relationship Id="rId19" Type="http://schemas.openxmlformats.org/officeDocument/2006/relationships/hyperlink" Target="http://speedskatingresults.com/index.php?p=2&amp;e=31773&amp;s=106983" TargetMode="External"/><Relationship Id="rId4" Type="http://schemas.openxmlformats.org/officeDocument/2006/relationships/hyperlink" Target="http://speedskatingresults.com/index.php?p=2&amp;e=31411&amp;s=83318" TargetMode="External"/><Relationship Id="rId9" Type="http://schemas.openxmlformats.org/officeDocument/2006/relationships/hyperlink" Target="http://speedskatingresults.com/index.php?p=2&amp;e=30591&amp;s=114230" TargetMode="External"/><Relationship Id="rId14" Type="http://schemas.openxmlformats.org/officeDocument/2006/relationships/hyperlink" Target="http://speedskatingresults.com/index.php?p=2&amp;e=31248&amp;s=64097" TargetMode="External"/><Relationship Id="rId22" Type="http://schemas.openxmlformats.org/officeDocument/2006/relationships/hyperlink" Target="http://speedskatingresults.com/index.php?p=2&amp;e=30591&amp;s=60820" TargetMode="External"/><Relationship Id="rId27" Type="http://schemas.openxmlformats.org/officeDocument/2006/relationships/hyperlink" Target="http://speedskatingresults.com/index.php?p=2&amp;e=31773&amp;s=798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C999"/>
  <sheetViews>
    <sheetView workbookViewId="0"/>
  </sheetViews>
  <sheetFormatPr baseColWidth="10" defaultColWidth="12.64453125" defaultRowHeight="15.75" customHeight="1"/>
  <sheetData>
    <row r="1" spans="1:3">
      <c r="A1" s="3" t="s">
        <v>135</v>
      </c>
      <c r="B1" s="3" t="s">
        <v>3</v>
      </c>
      <c r="C1" s="3" t="s">
        <v>136</v>
      </c>
    </row>
    <row r="2" spans="1:3">
      <c r="A2" s="1" t="s">
        <v>137</v>
      </c>
      <c r="B2" s="1" t="s">
        <v>132</v>
      </c>
      <c r="C2" s="1">
        <v>500</v>
      </c>
    </row>
    <row r="3" spans="1:3">
      <c r="A3" s="1" t="s">
        <v>138</v>
      </c>
      <c r="B3" s="1" t="s">
        <v>139</v>
      </c>
      <c r="C3" s="1">
        <v>1000</v>
      </c>
    </row>
    <row r="4" spans="1:3">
      <c r="A4" s="1"/>
      <c r="B4" s="1"/>
      <c r="C4" s="1">
        <v>1500</v>
      </c>
    </row>
    <row r="5" spans="1:3">
      <c r="A5" s="1"/>
      <c r="B5" s="1"/>
      <c r="C5" s="1">
        <v>3000</v>
      </c>
    </row>
    <row r="6" spans="1:3">
      <c r="A6" s="1"/>
      <c r="B6" s="1"/>
      <c r="C6" s="1">
        <v>5000</v>
      </c>
    </row>
    <row r="7" spans="1:3">
      <c r="A7" s="1"/>
      <c r="B7" s="1"/>
      <c r="C7" s="1">
        <v>10000</v>
      </c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  <row r="35" spans="1:3">
      <c r="A35" s="1"/>
      <c r="B35" s="1"/>
      <c r="C35" s="1"/>
    </row>
    <row r="36" spans="1:3">
      <c r="A36" s="1"/>
      <c r="B36" s="1"/>
      <c r="C36" s="1"/>
    </row>
    <row r="37" spans="1:3">
      <c r="A37" s="1"/>
      <c r="B37" s="1"/>
      <c r="C37" s="1"/>
    </row>
    <row r="38" spans="1:3">
      <c r="A38" s="1"/>
      <c r="B38" s="1"/>
      <c r="C38" s="1"/>
    </row>
    <row r="39" spans="1:3">
      <c r="A39" s="1"/>
      <c r="B39" s="1"/>
      <c r="C39" s="1"/>
    </row>
    <row r="40" spans="1:3">
      <c r="A40" s="1"/>
      <c r="B40" s="1"/>
      <c r="C40" s="1"/>
    </row>
    <row r="41" spans="1:3">
      <c r="A41" s="1"/>
      <c r="B41" s="1"/>
      <c r="C41" s="1"/>
    </row>
    <row r="42" spans="1:3">
      <c r="A42" s="1"/>
      <c r="B42" s="1"/>
      <c r="C42" s="1"/>
    </row>
    <row r="43" spans="1:3">
      <c r="A43" s="1"/>
      <c r="B43" s="1"/>
      <c r="C43" s="1"/>
    </row>
    <row r="44" spans="1:3">
      <c r="A44" s="1"/>
      <c r="B44" s="1"/>
      <c r="C44" s="1"/>
    </row>
    <row r="45" spans="1:3">
      <c r="A45" s="1"/>
      <c r="B45" s="1"/>
      <c r="C45" s="1"/>
    </row>
    <row r="46" spans="1:3">
      <c r="A46" s="1"/>
      <c r="B46" s="1"/>
      <c r="C46" s="1"/>
    </row>
    <row r="47" spans="1:3">
      <c r="A47" s="1"/>
      <c r="B47" s="1"/>
      <c r="C47" s="1"/>
    </row>
    <row r="48" spans="1:3">
      <c r="A48" s="1"/>
      <c r="B48" s="1"/>
      <c r="C48" s="1"/>
    </row>
    <row r="49" spans="1:3">
      <c r="A49" s="1"/>
      <c r="B49" s="1"/>
      <c r="C49" s="1"/>
    </row>
    <row r="50" spans="1:3">
      <c r="A50" s="1"/>
      <c r="B50" s="1"/>
      <c r="C50" s="1"/>
    </row>
    <row r="51" spans="1:3">
      <c r="A51" s="1"/>
      <c r="B51" s="1"/>
      <c r="C51" s="1"/>
    </row>
    <row r="52" spans="1:3">
      <c r="A52" s="1"/>
      <c r="B52" s="1"/>
      <c r="C52" s="1"/>
    </row>
    <row r="53" spans="1:3">
      <c r="A53" s="1"/>
      <c r="B53" s="1"/>
      <c r="C53" s="1"/>
    </row>
    <row r="54" spans="1:3">
      <c r="A54" s="1"/>
      <c r="B54" s="1"/>
      <c r="C54" s="1"/>
    </row>
    <row r="55" spans="1:3">
      <c r="A55" s="1"/>
      <c r="B55" s="1"/>
      <c r="C55" s="1"/>
    </row>
    <row r="56" spans="1:3">
      <c r="A56" s="1"/>
      <c r="B56" s="1"/>
      <c r="C56" s="1"/>
    </row>
    <row r="57" spans="1:3">
      <c r="A57" s="1"/>
      <c r="B57" s="1"/>
      <c r="C57" s="1"/>
    </row>
    <row r="58" spans="1:3">
      <c r="A58" s="1"/>
      <c r="B58" s="1"/>
      <c r="C58" s="1"/>
    </row>
    <row r="59" spans="1:3">
      <c r="A59" s="1"/>
      <c r="B59" s="1"/>
      <c r="C59" s="1"/>
    </row>
    <row r="60" spans="1:3">
      <c r="A60" s="1"/>
      <c r="B60" s="1"/>
      <c r="C60" s="1"/>
    </row>
    <row r="61" spans="1:3">
      <c r="A61" s="1"/>
      <c r="B61" s="1"/>
      <c r="C61" s="1"/>
    </row>
    <row r="62" spans="1:3">
      <c r="A62" s="1"/>
      <c r="B62" s="1"/>
      <c r="C62" s="1"/>
    </row>
    <row r="63" spans="1:3">
      <c r="A63" s="1"/>
      <c r="B63" s="1"/>
      <c r="C63" s="1"/>
    </row>
    <row r="64" spans="1:3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A68" s="1"/>
      <c r="B68" s="1"/>
      <c r="C68" s="1"/>
    </row>
    <row r="69" spans="1:3">
      <c r="A69" s="1"/>
      <c r="B69" s="1"/>
      <c r="C69" s="1"/>
    </row>
    <row r="70" spans="1:3">
      <c r="A70" s="1"/>
      <c r="B70" s="1"/>
      <c r="C70" s="1"/>
    </row>
    <row r="71" spans="1:3">
      <c r="A71" s="1"/>
      <c r="B71" s="1"/>
      <c r="C71" s="1"/>
    </row>
    <row r="72" spans="1:3">
      <c r="A72" s="1"/>
      <c r="B72" s="1"/>
      <c r="C72" s="1"/>
    </row>
    <row r="73" spans="1:3">
      <c r="A73" s="1"/>
      <c r="B73" s="1"/>
      <c r="C73" s="1"/>
    </row>
    <row r="74" spans="1:3">
      <c r="A74" s="1"/>
      <c r="B74" s="1"/>
      <c r="C74" s="1"/>
    </row>
    <row r="75" spans="1:3">
      <c r="A75" s="1"/>
      <c r="B75" s="1"/>
      <c r="C75" s="1"/>
    </row>
    <row r="76" spans="1:3">
      <c r="A76" s="1"/>
      <c r="B76" s="1"/>
      <c r="C76" s="1"/>
    </row>
    <row r="77" spans="1:3">
      <c r="A77" s="1"/>
      <c r="B77" s="1"/>
      <c r="C77" s="1"/>
    </row>
    <row r="78" spans="1:3">
      <c r="A78" s="1"/>
      <c r="B78" s="1"/>
      <c r="C78" s="1"/>
    </row>
    <row r="79" spans="1:3">
      <c r="A79" s="1"/>
      <c r="B79" s="1"/>
      <c r="C79" s="1"/>
    </row>
    <row r="80" spans="1:3">
      <c r="A80" s="1"/>
      <c r="B80" s="1"/>
      <c r="C80" s="1"/>
    </row>
    <row r="81" spans="1:3">
      <c r="A81" s="1"/>
      <c r="B81" s="1"/>
      <c r="C81" s="1"/>
    </row>
    <row r="82" spans="1:3">
      <c r="A82" s="1"/>
      <c r="B82" s="1"/>
      <c r="C82" s="1"/>
    </row>
    <row r="83" spans="1:3">
      <c r="A83" s="1"/>
      <c r="B83" s="1"/>
      <c r="C83" s="1"/>
    </row>
    <row r="84" spans="1:3">
      <c r="A84" s="1"/>
      <c r="B84" s="1"/>
      <c r="C84" s="1"/>
    </row>
    <row r="85" spans="1:3">
      <c r="A85" s="1"/>
      <c r="B85" s="1"/>
      <c r="C85" s="1"/>
    </row>
    <row r="86" spans="1:3">
      <c r="A86" s="1"/>
      <c r="B86" s="1"/>
      <c r="C86" s="1"/>
    </row>
    <row r="87" spans="1:3">
      <c r="A87" s="1"/>
      <c r="B87" s="1"/>
      <c r="C87" s="1"/>
    </row>
    <row r="88" spans="1:3">
      <c r="A88" s="1"/>
      <c r="B88" s="1"/>
      <c r="C88" s="1"/>
    </row>
    <row r="89" spans="1:3">
      <c r="A89" s="1"/>
      <c r="B89" s="1"/>
      <c r="C89" s="1"/>
    </row>
    <row r="90" spans="1:3">
      <c r="A90" s="1"/>
      <c r="B90" s="1"/>
      <c r="C90" s="1"/>
    </row>
    <row r="91" spans="1:3">
      <c r="A91" s="1"/>
      <c r="B91" s="1"/>
      <c r="C91" s="1"/>
    </row>
    <row r="92" spans="1:3">
      <c r="A92" s="1"/>
      <c r="B92" s="1"/>
      <c r="C92" s="1"/>
    </row>
    <row r="93" spans="1:3">
      <c r="A93" s="1"/>
      <c r="B93" s="1"/>
      <c r="C93" s="1"/>
    </row>
    <row r="94" spans="1:3">
      <c r="A94" s="1"/>
      <c r="B94" s="1"/>
      <c r="C94" s="1"/>
    </row>
    <row r="95" spans="1:3">
      <c r="A95" s="1"/>
      <c r="B95" s="1"/>
      <c r="C95" s="1"/>
    </row>
    <row r="96" spans="1:3">
      <c r="A96" s="1"/>
      <c r="B96" s="1"/>
      <c r="C96" s="1"/>
    </row>
    <row r="97" spans="1:3">
      <c r="A97" s="1"/>
      <c r="B97" s="1"/>
      <c r="C97" s="1"/>
    </row>
    <row r="98" spans="1:3">
      <c r="A98" s="1"/>
      <c r="B98" s="1"/>
      <c r="C98" s="1"/>
    </row>
    <row r="99" spans="1:3">
      <c r="A99" s="1"/>
      <c r="B99" s="1"/>
      <c r="C99" s="1"/>
    </row>
    <row r="100" spans="1:3">
      <c r="A100" s="1"/>
      <c r="B100" s="1"/>
      <c r="C100" s="1"/>
    </row>
    <row r="101" spans="1:3">
      <c r="A101" s="1"/>
      <c r="B101" s="1"/>
      <c r="C101" s="1"/>
    </row>
    <row r="102" spans="1:3">
      <c r="A102" s="1"/>
      <c r="B102" s="1"/>
      <c r="C102" s="1"/>
    </row>
    <row r="103" spans="1:3">
      <c r="A103" s="1"/>
      <c r="B103" s="1"/>
      <c r="C103" s="1"/>
    </row>
    <row r="104" spans="1:3">
      <c r="A104" s="1"/>
      <c r="B104" s="1"/>
      <c r="C104" s="1"/>
    </row>
    <row r="105" spans="1:3">
      <c r="A105" s="1"/>
      <c r="B105" s="1"/>
      <c r="C105" s="1"/>
    </row>
    <row r="106" spans="1:3">
      <c r="A106" s="1"/>
      <c r="B106" s="1"/>
      <c r="C106" s="1"/>
    </row>
    <row r="107" spans="1:3">
      <c r="A107" s="1"/>
      <c r="B107" s="1"/>
      <c r="C107" s="1"/>
    </row>
    <row r="108" spans="1:3">
      <c r="A108" s="1"/>
      <c r="B108" s="1"/>
      <c r="C108" s="1"/>
    </row>
    <row r="109" spans="1:3">
      <c r="A109" s="1"/>
      <c r="B109" s="1"/>
      <c r="C109" s="1"/>
    </row>
    <row r="110" spans="1:3">
      <c r="A110" s="1"/>
      <c r="B110" s="1"/>
      <c r="C110" s="1"/>
    </row>
    <row r="111" spans="1:3">
      <c r="A111" s="1"/>
      <c r="B111" s="1"/>
      <c r="C111" s="1"/>
    </row>
    <row r="112" spans="1:3">
      <c r="A112" s="1"/>
      <c r="B112" s="1"/>
      <c r="C112" s="1"/>
    </row>
    <row r="113" spans="1:3">
      <c r="A113" s="1"/>
      <c r="B113" s="1"/>
      <c r="C113" s="1"/>
    </row>
    <row r="114" spans="1:3">
      <c r="A114" s="1"/>
      <c r="B114" s="1"/>
      <c r="C114" s="1"/>
    </row>
    <row r="115" spans="1:3">
      <c r="A115" s="1"/>
      <c r="B115" s="1"/>
      <c r="C115" s="1"/>
    </row>
    <row r="116" spans="1:3">
      <c r="A116" s="1"/>
      <c r="B116" s="1"/>
      <c r="C116" s="1"/>
    </row>
    <row r="117" spans="1:3">
      <c r="A117" s="1"/>
      <c r="B117" s="1"/>
      <c r="C117" s="1"/>
    </row>
    <row r="118" spans="1:3">
      <c r="A118" s="1"/>
      <c r="B118" s="1"/>
      <c r="C118" s="1"/>
    </row>
    <row r="119" spans="1:3">
      <c r="A119" s="1"/>
      <c r="B119" s="1"/>
      <c r="C119" s="1"/>
    </row>
    <row r="120" spans="1:3">
      <c r="A120" s="1"/>
      <c r="B120" s="1"/>
      <c r="C120" s="1"/>
    </row>
    <row r="121" spans="1:3">
      <c r="A121" s="1"/>
      <c r="B121" s="1"/>
      <c r="C121" s="1"/>
    </row>
    <row r="122" spans="1:3">
      <c r="A122" s="1"/>
      <c r="B122" s="1"/>
      <c r="C122" s="1"/>
    </row>
    <row r="123" spans="1:3">
      <c r="A123" s="1"/>
      <c r="B123" s="1"/>
      <c r="C123" s="1"/>
    </row>
    <row r="124" spans="1:3">
      <c r="A124" s="1"/>
      <c r="B124" s="1"/>
      <c r="C124" s="1"/>
    </row>
    <row r="125" spans="1:3">
      <c r="A125" s="1"/>
      <c r="B125" s="1"/>
      <c r="C125" s="1"/>
    </row>
    <row r="126" spans="1:3">
      <c r="A126" s="1"/>
      <c r="B126" s="1"/>
      <c r="C126" s="1"/>
    </row>
    <row r="127" spans="1:3">
      <c r="A127" s="1"/>
      <c r="B127" s="1"/>
      <c r="C127" s="1"/>
    </row>
    <row r="128" spans="1:3">
      <c r="A128" s="1"/>
      <c r="B128" s="1"/>
      <c r="C128" s="1"/>
    </row>
    <row r="129" spans="1:3">
      <c r="A129" s="1"/>
      <c r="B129" s="1"/>
      <c r="C129" s="1"/>
    </row>
    <row r="130" spans="1:3">
      <c r="A130" s="1"/>
      <c r="B130" s="1"/>
      <c r="C130" s="1"/>
    </row>
    <row r="131" spans="1:3">
      <c r="A131" s="1"/>
      <c r="B131" s="1"/>
      <c r="C131" s="1"/>
    </row>
    <row r="132" spans="1:3">
      <c r="A132" s="1"/>
      <c r="B132" s="1"/>
      <c r="C132" s="1"/>
    </row>
    <row r="133" spans="1:3">
      <c r="A133" s="1"/>
      <c r="B133" s="1"/>
      <c r="C133" s="1"/>
    </row>
    <row r="134" spans="1:3">
      <c r="A134" s="1"/>
      <c r="B134" s="1"/>
      <c r="C134" s="1"/>
    </row>
    <row r="135" spans="1:3">
      <c r="A135" s="1"/>
      <c r="B135" s="1"/>
      <c r="C135" s="1"/>
    </row>
    <row r="136" spans="1:3">
      <c r="A136" s="1"/>
      <c r="B136" s="1"/>
      <c r="C136" s="1"/>
    </row>
    <row r="137" spans="1:3">
      <c r="A137" s="1"/>
      <c r="B137" s="1"/>
      <c r="C137" s="1"/>
    </row>
    <row r="138" spans="1:3">
      <c r="A138" s="1"/>
      <c r="B138" s="1"/>
      <c r="C138" s="1"/>
    </row>
    <row r="139" spans="1:3">
      <c r="A139" s="1"/>
      <c r="B139" s="1"/>
      <c r="C139" s="1"/>
    </row>
    <row r="140" spans="1:3">
      <c r="A140" s="1"/>
      <c r="B140" s="1"/>
      <c r="C140" s="1"/>
    </row>
    <row r="141" spans="1:3">
      <c r="A141" s="1"/>
      <c r="B141" s="1"/>
      <c r="C141" s="1"/>
    </row>
    <row r="142" spans="1:3">
      <c r="A142" s="1"/>
      <c r="B142" s="1"/>
      <c r="C142" s="1"/>
    </row>
    <row r="143" spans="1:3">
      <c r="A143" s="1"/>
      <c r="B143" s="1"/>
      <c r="C143" s="1"/>
    </row>
    <row r="144" spans="1:3">
      <c r="A144" s="1"/>
      <c r="B144" s="1"/>
      <c r="C144" s="1"/>
    </row>
    <row r="145" spans="1:3">
      <c r="A145" s="1"/>
      <c r="B145" s="1"/>
      <c r="C145" s="1"/>
    </row>
    <row r="146" spans="1:3">
      <c r="A146" s="1"/>
      <c r="B146" s="1"/>
      <c r="C146" s="1"/>
    </row>
    <row r="147" spans="1:3">
      <c r="A147" s="1"/>
      <c r="B147" s="1"/>
      <c r="C147" s="1"/>
    </row>
    <row r="148" spans="1:3">
      <c r="A148" s="1"/>
      <c r="B148" s="1"/>
      <c r="C148" s="1"/>
    </row>
    <row r="149" spans="1:3">
      <c r="A149" s="1"/>
      <c r="B149" s="1"/>
      <c r="C149" s="1"/>
    </row>
    <row r="150" spans="1:3">
      <c r="A150" s="1"/>
      <c r="B150" s="1"/>
      <c r="C150" s="1"/>
    </row>
    <row r="151" spans="1:3">
      <c r="A151" s="1"/>
      <c r="B151" s="1"/>
      <c r="C151" s="1"/>
    </row>
    <row r="152" spans="1:3">
      <c r="A152" s="1"/>
      <c r="B152" s="1"/>
      <c r="C152" s="1"/>
    </row>
    <row r="153" spans="1:3">
      <c r="A153" s="1"/>
      <c r="B153" s="1"/>
      <c r="C153" s="1"/>
    </row>
    <row r="154" spans="1:3">
      <c r="A154" s="1"/>
      <c r="B154" s="1"/>
      <c r="C154" s="1"/>
    </row>
    <row r="155" spans="1:3">
      <c r="A155" s="1"/>
      <c r="B155" s="1"/>
      <c r="C155" s="1"/>
    </row>
    <row r="156" spans="1:3">
      <c r="A156" s="1"/>
      <c r="B156" s="1"/>
      <c r="C156" s="1"/>
    </row>
    <row r="157" spans="1:3">
      <c r="A157" s="1"/>
      <c r="B157" s="1"/>
      <c r="C157" s="1"/>
    </row>
    <row r="158" spans="1:3">
      <c r="A158" s="1"/>
      <c r="B158" s="1"/>
      <c r="C158" s="1"/>
    </row>
    <row r="159" spans="1:3">
      <c r="A159" s="1"/>
      <c r="B159" s="1"/>
      <c r="C159" s="1"/>
    </row>
    <row r="160" spans="1:3">
      <c r="A160" s="1"/>
      <c r="B160" s="1"/>
      <c r="C160" s="1"/>
    </row>
    <row r="161" spans="1:3">
      <c r="A161" s="1"/>
      <c r="B161" s="1"/>
      <c r="C161" s="1"/>
    </row>
    <row r="162" spans="1:3">
      <c r="A162" s="1"/>
      <c r="B162" s="1"/>
      <c r="C162" s="1"/>
    </row>
    <row r="163" spans="1:3">
      <c r="A163" s="1"/>
      <c r="B163" s="1"/>
      <c r="C163" s="1"/>
    </row>
    <row r="164" spans="1:3">
      <c r="A164" s="1"/>
      <c r="B164" s="1"/>
      <c r="C164" s="1"/>
    </row>
    <row r="165" spans="1:3">
      <c r="A165" s="1"/>
      <c r="B165" s="1"/>
      <c r="C165" s="1"/>
    </row>
    <row r="166" spans="1:3">
      <c r="A166" s="1"/>
      <c r="B166" s="1"/>
      <c r="C166" s="1"/>
    </row>
    <row r="167" spans="1:3">
      <c r="A167" s="1"/>
      <c r="B167" s="1"/>
      <c r="C167" s="1"/>
    </row>
    <row r="168" spans="1:3">
      <c r="A168" s="1"/>
      <c r="B168" s="1"/>
      <c r="C168" s="1"/>
    </row>
    <row r="169" spans="1:3">
      <c r="A169" s="1"/>
      <c r="B169" s="1"/>
      <c r="C169" s="1"/>
    </row>
    <row r="170" spans="1:3">
      <c r="A170" s="1"/>
      <c r="B170" s="1"/>
      <c r="C170" s="1"/>
    </row>
    <row r="171" spans="1:3">
      <c r="A171" s="1"/>
      <c r="B171" s="1"/>
      <c r="C171" s="1"/>
    </row>
    <row r="172" spans="1:3">
      <c r="A172" s="1"/>
      <c r="B172" s="1"/>
      <c r="C172" s="1"/>
    </row>
    <row r="173" spans="1:3">
      <c r="A173" s="1"/>
      <c r="B173" s="1"/>
      <c r="C173" s="1"/>
    </row>
    <row r="174" spans="1:3">
      <c r="A174" s="1"/>
      <c r="B174" s="1"/>
      <c r="C174" s="1"/>
    </row>
    <row r="175" spans="1:3">
      <c r="A175" s="1"/>
      <c r="B175" s="1"/>
      <c r="C175" s="1"/>
    </row>
    <row r="176" spans="1:3">
      <c r="A176" s="1"/>
      <c r="B176" s="1"/>
      <c r="C176" s="1"/>
    </row>
    <row r="177" spans="1:3">
      <c r="A177" s="1"/>
      <c r="B177" s="1"/>
      <c r="C177" s="1"/>
    </row>
    <row r="178" spans="1:3">
      <c r="A178" s="1"/>
      <c r="B178" s="1"/>
      <c r="C178" s="1"/>
    </row>
    <row r="179" spans="1:3">
      <c r="A179" s="1"/>
      <c r="B179" s="1"/>
      <c r="C179" s="1"/>
    </row>
    <row r="180" spans="1:3">
      <c r="A180" s="1"/>
      <c r="B180" s="1"/>
      <c r="C180" s="1"/>
    </row>
    <row r="181" spans="1:3">
      <c r="A181" s="1"/>
      <c r="B181" s="1"/>
      <c r="C181" s="1"/>
    </row>
    <row r="182" spans="1:3">
      <c r="A182" s="1"/>
      <c r="B182" s="1"/>
      <c r="C182" s="1"/>
    </row>
    <row r="183" spans="1:3">
      <c r="A183" s="1"/>
      <c r="B183" s="1"/>
      <c r="C183" s="1"/>
    </row>
    <row r="184" spans="1:3">
      <c r="A184" s="1"/>
      <c r="B184" s="1"/>
      <c r="C184" s="1"/>
    </row>
    <row r="185" spans="1:3">
      <c r="A185" s="1"/>
      <c r="B185" s="1"/>
      <c r="C185" s="1"/>
    </row>
    <row r="186" spans="1:3">
      <c r="A186" s="1"/>
      <c r="B186" s="1"/>
      <c r="C186" s="1"/>
    </row>
    <row r="187" spans="1:3">
      <c r="A187" s="1"/>
      <c r="B187" s="1"/>
      <c r="C187" s="1"/>
    </row>
    <row r="188" spans="1:3">
      <c r="A188" s="1"/>
      <c r="B188" s="1"/>
      <c r="C188" s="1"/>
    </row>
    <row r="189" spans="1:3">
      <c r="A189" s="1"/>
      <c r="B189" s="1"/>
      <c r="C189" s="1"/>
    </row>
    <row r="190" spans="1:3">
      <c r="A190" s="1"/>
      <c r="B190" s="1"/>
      <c r="C190" s="1"/>
    </row>
    <row r="191" spans="1:3">
      <c r="A191" s="1"/>
      <c r="B191" s="1"/>
      <c r="C191" s="1"/>
    </row>
    <row r="192" spans="1:3">
      <c r="A192" s="1"/>
      <c r="B192" s="1"/>
      <c r="C192" s="1"/>
    </row>
    <row r="193" spans="1:3">
      <c r="A193" s="1"/>
      <c r="B193" s="1"/>
      <c r="C193" s="1"/>
    </row>
    <row r="194" spans="1:3">
      <c r="A194" s="1"/>
      <c r="B194" s="1"/>
      <c r="C194" s="1"/>
    </row>
    <row r="195" spans="1:3">
      <c r="A195" s="1"/>
      <c r="B195" s="1"/>
      <c r="C195" s="1"/>
    </row>
    <row r="196" spans="1:3">
      <c r="A196" s="1"/>
      <c r="B196" s="1"/>
      <c r="C196" s="1"/>
    </row>
    <row r="197" spans="1:3">
      <c r="A197" s="1"/>
      <c r="B197" s="1"/>
      <c r="C197" s="1"/>
    </row>
    <row r="198" spans="1:3">
      <c r="A198" s="1"/>
      <c r="B198" s="1"/>
      <c r="C198" s="1"/>
    </row>
    <row r="199" spans="1:3">
      <c r="A199" s="1"/>
      <c r="B199" s="1"/>
      <c r="C199" s="1"/>
    </row>
    <row r="200" spans="1:3">
      <c r="A200" s="1"/>
      <c r="B200" s="1"/>
      <c r="C200" s="1"/>
    </row>
    <row r="201" spans="1:3">
      <c r="A201" s="1"/>
      <c r="B201" s="1"/>
      <c r="C201" s="1"/>
    </row>
    <row r="202" spans="1:3">
      <c r="A202" s="1"/>
      <c r="B202" s="1"/>
      <c r="C202" s="1"/>
    </row>
    <row r="203" spans="1:3">
      <c r="A203" s="1"/>
      <c r="B203" s="1"/>
      <c r="C203" s="1"/>
    </row>
    <row r="204" spans="1:3">
      <c r="A204" s="1"/>
      <c r="B204" s="1"/>
      <c r="C204" s="1"/>
    </row>
    <row r="205" spans="1:3">
      <c r="A205" s="1"/>
      <c r="B205" s="1"/>
      <c r="C205" s="1"/>
    </row>
    <row r="206" spans="1:3">
      <c r="A206" s="1"/>
      <c r="B206" s="1"/>
      <c r="C206" s="1"/>
    </row>
    <row r="207" spans="1:3">
      <c r="A207" s="1"/>
      <c r="B207" s="1"/>
      <c r="C207" s="1"/>
    </row>
    <row r="208" spans="1:3">
      <c r="A208" s="1"/>
      <c r="B208" s="1"/>
      <c r="C208" s="1"/>
    </row>
    <row r="209" spans="1:3">
      <c r="A209" s="1"/>
      <c r="B209" s="1"/>
      <c r="C209" s="1"/>
    </row>
    <row r="210" spans="1:3">
      <c r="A210" s="1"/>
      <c r="B210" s="1"/>
      <c r="C210" s="1"/>
    </row>
    <row r="211" spans="1:3">
      <c r="A211" s="1"/>
      <c r="B211" s="1"/>
      <c r="C211" s="1"/>
    </row>
    <row r="212" spans="1:3">
      <c r="A212" s="1"/>
      <c r="B212" s="1"/>
      <c r="C212" s="1"/>
    </row>
    <row r="213" spans="1:3">
      <c r="A213" s="1"/>
      <c r="B213" s="1"/>
      <c r="C213" s="1"/>
    </row>
    <row r="214" spans="1:3">
      <c r="A214" s="1"/>
      <c r="B214" s="1"/>
      <c r="C214" s="1"/>
    </row>
    <row r="215" spans="1:3">
      <c r="A215" s="1"/>
      <c r="B215" s="1"/>
      <c r="C215" s="1"/>
    </row>
    <row r="216" spans="1:3">
      <c r="A216" s="1"/>
      <c r="B216" s="1"/>
      <c r="C216" s="1"/>
    </row>
    <row r="217" spans="1:3">
      <c r="A217" s="1"/>
      <c r="B217" s="1"/>
      <c r="C217" s="1"/>
    </row>
    <row r="218" spans="1:3">
      <c r="A218" s="1"/>
      <c r="B218" s="1"/>
      <c r="C218" s="1"/>
    </row>
    <row r="219" spans="1:3">
      <c r="A219" s="1"/>
      <c r="B219" s="1"/>
      <c r="C219" s="1"/>
    </row>
    <row r="220" spans="1:3">
      <c r="A220" s="1"/>
      <c r="B220" s="1"/>
      <c r="C220" s="1"/>
    </row>
    <row r="221" spans="1:3">
      <c r="A221" s="1"/>
      <c r="B221" s="1"/>
      <c r="C221" s="1"/>
    </row>
    <row r="222" spans="1:3">
      <c r="A222" s="1"/>
      <c r="B222" s="1"/>
      <c r="C222" s="1"/>
    </row>
    <row r="223" spans="1:3">
      <c r="A223" s="1"/>
      <c r="B223" s="1"/>
      <c r="C223" s="1"/>
    </row>
    <row r="224" spans="1:3">
      <c r="A224" s="1"/>
      <c r="B224" s="1"/>
      <c r="C224" s="1"/>
    </row>
    <row r="225" spans="1:3">
      <c r="A225" s="1"/>
      <c r="B225" s="1"/>
      <c r="C225" s="1"/>
    </row>
    <row r="226" spans="1:3">
      <c r="A226" s="1"/>
      <c r="B226" s="1"/>
      <c r="C226" s="1"/>
    </row>
    <row r="227" spans="1:3">
      <c r="A227" s="1"/>
      <c r="B227" s="1"/>
      <c r="C227" s="1"/>
    </row>
    <row r="228" spans="1:3">
      <c r="A228" s="1"/>
      <c r="B228" s="1"/>
      <c r="C228" s="1"/>
    </row>
    <row r="229" spans="1:3">
      <c r="A229" s="1"/>
      <c r="B229" s="1"/>
      <c r="C229" s="1"/>
    </row>
    <row r="230" spans="1:3">
      <c r="A230" s="1"/>
      <c r="B230" s="1"/>
      <c r="C230" s="1"/>
    </row>
    <row r="231" spans="1:3">
      <c r="A231" s="1"/>
      <c r="B231" s="1"/>
      <c r="C231" s="1"/>
    </row>
    <row r="232" spans="1:3">
      <c r="A232" s="1"/>
      <c r="B232" s="1"/>
      <c r="C232" s="1"/>
    </row>
    <row r="233" spans="1:3">
      <c r="A233" s="1"/>
      <c r="B233" s="1"/>
      <c r="C233" s="1"/>
    </row>
    <row r="234" spans="1:3">
      <c r="A234" s="1"/>
      <c r="B234" s="1"/>
      <c r="C234" s="1"/>
    </row>
    <row r="235" spans="1:3">
      <c r="A235" s="1"/>
      <c r="B235" s="1"/>
      <c r="C235" s="1"/>
    </row>
    <row r="236" spans="1:3">
      <c r="A236" s="1"/>
      <c r="B236" s="1"/>
      <c r="C236" s="1"/>
    </row>
    <row r="237" spans="1:3">
      <c r="A237" s="1"/>
      <c r="B237" s="1"/>
      <c r="C237" s="1"/>
    </row>
    <row r="238" spans="1:3">
      <c r="A238" s="1"/>
      <c r="B238" s="1"/>
      <c r="C238" s="1"/>
    </row>
    <row r="239" spans="1:3">
      <c r="A239" s="1"/>
      <c r="B239" s="1"/>
      <c r="C239" s="1"/>
    </row>
    <row r="240" spans="1:3">
      <c r="A240" s="1"/>
      <c r="B240" s="1"/>
      <c r="C240" s="1"/>
    </row>
    <row r="241" spans="1:3">
      <c r="A241" s="1"/>
      <c r="B241" s="1"/>
      <c r="C241" s="1"/>
    </row>
    <row r="242" spans="1:3">
      <c r="A242" s="1"/>
      <c r="B242" s="1"/>
      <c r="C242" s="1"/>
    </row>
    <row r="243" spans="1:3">
      <c r="A243" s="1"/>
      <c r="B243" s="1"/>
      <c r="C243" s="1"/>
    </row>
    <row r="244" spans="1:3">
      <c r="A244" s="1"/>
      <c r="B244" s="1"/>
      <c r="C244" s="1"/>
    </row>
    <row r="245" spans="1:3">
      <c r="A245" s="1"/>
      <c r="B245" s="1"/>
      <c r="C245" s="1"/>
    </row>
    <row r="246" spans="1:3">
      <c r="A246" s="1"/>
      <c r="B246" s="1"/>
      <c r="C246" s="1"/>
    </row>
    <row r="247" spans="1:3">
      <c r="A247" s="1"/>
      <c r="B247" s="1"/>
      <c r="C247" s="1"/>
    </row>
    <row r="248" spans="1:3">
      <c r="A248" s="1"/>
      <c r="B248" s="1"/>
      <c r="C248" s="1"/>
    </row>
    <row r="249" spans="1:3">
      <c r="A249" s="1"/>
      <c r="B249" s="1"/>
      <c r="C249" s="1"/>
    </row>
    <row r="250" spans="1:3">
      <c r="A250" s="1"/>
      <c r="B250" s="1"/>
      <c r="C250" s="1"/>
    </row>
    <row r="251" spans="1:3">
      <c r="A251" s="1"/>
      <c r="B251" s="1"/>
      <c r="C251" s="1"/>
    </row>
    <row r="252" spans="1:3">
      <c r="A252" s="1"/>
      <c r="B252" s="1"/>
      <c r="C252" s="1"/>
    </row>
    <row r="253" spans="1:3">
      <c r="A253" s="1"/>
      <c r="B253" s="1"/>
      <c r="C253" s="1"/>
    </row>
    <row r="254" spans="1:3">
      <c r="A254" s="1"/>
      <c r="B254" s="1"/>
      <c r="C254" s="1"/>
    </row>
    <row r="255" spans="1:3">
      <c r="A255" s="1"/>
      <c r="B255" s="1"/>
      <c r="C255" s="1"/>
    </row>
    <row r="256" spans="1:3">
      <c r="A256" s="1"/>
      <c r="B256" s="1"/>
      <c r="C256" s="1"/>
    </row>
    <row r="257" spans="1:3">
      <c r="A257" s="1"/>
      <c r="B257" s="1"/>
      <c r="C257" s="1"/>
    </row>
    <row r="258" spans="1:3">
      <c r="A258" s="1"/>
      <c r="B258" s="1"/>
      <c r="C258" s="1"/>
    </row>
    <row r="259" spans="1:3">
      <c r="A259" s="1"/>
      <c r="B259" s="1"/>
      <c r="C259" s="1"/>
    </row>
    <row r="260" spans="1:3">
      <c r="A260" s="1"/>
      <c r="B260" s="1"/>
      <c r="C260" s="1"/>
    </row>
    <row r="261" spans="1:3">
      <c r="A261" s="1"/>
      <c r="B261" s="1"/>
      <c r="C261" s="1"/>
    </row>
    <row r="262" spans="1:3">
      <c r="A262" s="1"/>
      <c r="B262" s="1"/>
      <c r="C262" s="1"/>
    </row>
    <row r="263" spans="1:3">
      <c r="A263" s="1"/>
      <c r="B263" s="1"/>
      <c r="C263" s="1"/>
    </row>
    <row r="264" spans="1:3">
      <c r="A264" s="1"/>
      <c r="B264" s="1"/>
      <c r="C264" s="1"/>
    </row>
    <row r="265" spans="1:3">
      <c r="A265" s="1"/>
      <c r="B265" s="1"/>
      <c r="C265" s="1"/>
    </row>
    <row r="266" spans="1:3">
      <c r="A266" s="1"/>
      <c r="B266" s="1"/>
      <c r="C266" s="1"/>
    </row>
    <row r="267" spans="1:3">
      <c r="A267" s="1"/>
      <c r="B267" s="1"/>
      <c r="C267" s="1"/>
    </row>
    <row r="268" spans="1:3">
      <c r="A268" s="1"/>
      <c r="B268" s="1"/>
      <c r="C268" s="1"/>
    </row>
    <row r="269" spans="1:3">
      <c r="A269" s="1"/>
      <c r="B269" s="1"/>
      <c r="C269" s="1"/>
    </row>
    <row r="270" spans="1:3">
      <c r="A270" s="1"/>
      <c r="B270" s="1"/>
      <c r="C270" s="1"/>
    </row>
    <row r="271" spans="1:3">
      <c r="A271" s="1"/>
      <c r="B271" s="1"/>
      <c r="C271" s="1"/>
    </row>
    <row r="272" spans="1:3">
      <c r="A272" s="1"/>
      <c r="B272" s="1"/>
      <c r="C272" s="1"/>
    </row>
    <row r="273" spans="1:3">
      <c r="A273" s="1"/>
      <c r="B273" s="1"/>
      <c r="C273" s="1"/>
    </row>
    <row r="274" spans="1:3">
      <c r="A274" s="1"/>
      <c r="B274" s="1"/>
      <c r="C274" s="1"/>
    </row>
    <row r="275" spans="1:3">
      <c r="A275" s="1"/>
      <c r="B275" s="1"/>
      <c r="C275" s="1"/>
    </row>
    <row r="276" spans="1:3">
      <c r="A276" s="1"/>
      <c r="B276" s="1"/>
      <c r="C276" s="1"/>
    </row>
    <row r="277" spans="1:3">
      <c r="A277" s="1"/>
      <c r="B277" s="1"/>
      <c r="C277" s="1"/>
    </row>
    <row r="278" spans="1:3">
      <c r="A278" s="1"/>
      <c r="B278" s="1"/>
      <c r="C278" s="1"/>
    </row>
    <row r="279" spans="1:3">
      <c r="A279" s="1"/>
      <c r="B279" s="1"/>
      <c r="C279" s="1"/>
    </row>
    <row r="280" spans="1:3">
      <c r="A280" s="1"/>
      <c r="B280" s="1"/>
      <c r="C280" s="1"/>
    </row>
    <row r="281" spans="1:3">
      <c r="A281" s="1"/>
      <c r="B281" s="1"/>
      <c r="C281" s="1"/>
    </row>
    <row r="282" spans="1:3">
      <c r="A282" s="1"/>
      <c r="B282" s="1"/>
      <c r="C282" s="1"/>
    </row>
    <row r="283" spans="1:3">
      <c r="A283" s="1"/>
      <c r="B283" s="1"/>
      <c r="C283" s="1"/>
    </row>
    <row r="284" spans="1:3">
      <c r="A284" s="1"/>
      <c r="B284" s="1"/>
      <c r="C284" s="1"/>
    </row>
    <row r="285" spans="1:3">
      <c r="A285" s="1"/>
      <c r="B285" s="1"/>
      <c r="C285" s="1"/>
    </row>
    <row r="286" spans="1:3">
      <c r="A286" s="1"/>
      <c r="B286" s="1"/>
      <c r="C286" s="1"/>
    </row>
    <row r="287" spans="1:3">
      <c r="A287" s="1"/>
      <c r="B287" s="1"/>
      <c r="C287" s="1"/>
    </row>
    <row r="288" spans="1:3">
      <c r="A288" s="1"/>
      <c r="B288" s="1"/>
      <c r="C288" s="1"/>
    </row>
    <row r="289" spans="1:3">
      <c r="A289" s="1"/>
      <c r="B289" s="1"/>
      <c r="C289" s="1"/>
    </row>
    <row r="290" spans="1:3">
      <c r="A290" s="1"/>
      <c r="B290" s="1"/>
      <c r="C290" s="1"/>
    </row>
    <row r="291" spans="1:3">
      <c r="A291" s="1"/>
      <c r="B291" s="1"/>
      <c r="C291" s="1"/>
    </row>
    <row r="292" spans="1:3">
      <c r="A292" s="1"/>
      <c r="B292" s="1"/>
      <c r="C292" s="1"/>
    </row>
    <row r="293" spans="1:3">
      <c r="A293" s="1"/>
      <c r="B293" s="1"/>
      <c r="C293" s="1"/>
    </row>
    <row r="294" spans="1:3">
      <c r="A294" s="1"/>
      <c r="B294" s="1"/>
      <c r="C294" s="1"/>
    </row>
    <row r="295" spans="1:3">
      <c r="A295" s="1"/>
      <c r="B295" s="1"/>
      <c r="C295" s="1"/>
    </row>
    <row r="296" spans="1:3">
      <c r="A296" s="1"/>
      <c r="B296" s="1"/>
      <c r="C296" s="1"/>
    </row>
    <row r="297" spans="1:3">
      <c r="A297" s="1"/>
      <c r="B297" s="1"/>
      <c r="C297" s="1"/>
    </row>
    <row r="298" spans="1:3">
      <c r="A298" s="1"/>
      <c r="B298" s="1"/>
      <c r="C298" s="1"/>
    </row>
    <row r="299" spans="1:3">
      <c r="A299" s="1"/>
      <c r="B299" s="1"/>
      <c r="C299" s="1"/>
    </row>
    <row r="300" spans="1:3">
      <c r="A300" s="1"/>
      <c r="B300" s="1"/>
      <c r="C300" s="1"/>
    </row>
    <row r="301" spans="1:3">
      <c r="A301" s="1"/>
      <c r="B301" s="1"/>
      <c r="C301" s="1"/>
    </row>
    <row r="302" spans="1:3">
      <c r="A302" s="1"/>
      <c r="B302" s="1"/>
      <c r="C302" s="1"/>
    </row>
    <row r="303" spans="1:3">
      <c r="A303" s="1"/>
      <c r="B303" s="1"/>
      <c r="C303" s="1"/>
    </row>
    <row r="304" spans="1:3">
      <c r="A304" s="1"/>
      <c r="B304" s="1"/>
      <c r="C304" s="1"/>
    </row>
    <row r="305" spans="1:3">
      <c r="A305" s="1"/>
      <c r="B305" s="1"/>
      <c r="C305" s="1"/>
    </row>
    <row r="306" spans="1:3">
      <c r="A306" s="1"/>
      <c r="B306" s="1"/>
      <c r="C306" s="1"/>
    </row>
    <row r="307" spans="1:3">
      <c r="A307" s="1"/>
      <c r="B307" s="1"/>
      <c r="C307" s="1"/>
    </row>
    <row r="308" spans="1:3">
      <c r="A308" s="1"/>
      <c r="B308" s="1"/>
      <c r="C308" s="1"/>
    </row>
    <row r="309" spans="1:3">
      <c r="A309" s="1"/>
      <c r="B309" s="1"/>
      <c r="C309" s="1"/>
    </row>
    <row r="310" spans="1:3">
      <c r="A310" s="1"/>
      <c r="B310" s="1"/>
      <c r="C310" s="1"/>
    </row>
    <row r="311" spans="1:3">
      <c r="A311" s="1"/>
      <c r="B311" s="1"/>
      <c r="C311" s="1"/>
    </row>
    <row r="312" spans="1:3">
      <c r="A312" s="1"/>
      <c r="B312" s="1"/>
      <c r="C312" s="1"/>
    </row>
    <row r="313" spans="1:3">
      <c r="A313" s="1"/>
      <c r="B313" s="1"/>
      <c r="C313" s="1"/>
    </row>
    <row r="314" spans="1:3">
      <c r="A314" s="1"/>
      <c r="B314" s="1"/>
      <c r="C314" s="1"/>
    </row>
    <row r="315" spans="1:3">
      <c r="A315" s="1"/>
      <c r="B315" s="1"/>
      <c r="C315" s="1"/>
    </row>
    <row r="316" spans="1:3">
      <c r="A316" s="1"/>
      <c r="B316" s="1"/>
      <c r="C316" s="1"/>
    </row>
    <row r="317" spans="1:3">
      <c r="A317" s="1"/>
      <c r="B317" s="1"/>
      <c r="C317" s="1"/>
    </row>
    <row r="318" spans="1:3">
      <c r="A318" s="1"/>
      <c r="B318" s="1"/>
      <c r="C318" s="1"/>
    </row>
    <row r="319" spans="1:3">
      <c r="A319" s="1"/>
      <c r="B319" s="1"/>
      <c r="C319" s="1"/>
    </row>
    <row r="320" spans="1:3">
      <c r="A320" s="1"/>
      <c r="B320" s="1"/>
      <c r="C320" s="1"/>
    </row>
    <row r="321" spans="1:3">
      <c r="A321" s="1"/>
      <c r="B321" s="1"/>
      <c r="C321" s="1"/>
    </row>
    <row r="322" spans="1:3">
      <c r="A322" s="1"/>
      <c r="B322" s="1"/>
      <c r="C322" s="1"/>
    </row>
    <row r="323" spans="1:3">
      <c r="A323" s="1"/>
      <c r="B323" s="1"/>
      <c r="C323" s="1"/>
    </row>
    <row r="324" spans="1:3">
      <c r="A324" s="1"/>
      <c r="B324" s="1"/>
      <c r="C324" s="1"/>
    </row>
    <row r="325" spans="1:3">
      <c r="A325" s="1"/>
      <c r="B325" s="1"/>
      <c r="C325" s="1"/>
    </row>
    <row r="326" spans="1:3">
      <c r="A326" s="1"/>
      <c r="B326" s="1"/>
      <c r="C326" s="1"/>
    </row>
    <row r="327" spans="1:3">
      <c r="A327" s="1"/>
      <c r="B327" s="1"/>
      <c r="C327" s="1"/>
    </row>
    <row r="328" spans="1:3">
      <c r="A328" s="1"/>
      <c r="B328" s="1"/>
      <c r="C328" s="1"/>
    </row>
    <row r="329" spans="1:3">
      <c r="A329" s="1"/>
      <c r="B329" s="1"/>
      <c r="C329" s="1"/>
    </row>
    <row r="330" spans="1:3">
      <c r="A330" s="1"/>
      <c r="B330" s="1"/>
      <c r="C330" s="1"/>
    </row>
    <row r="331" spans="1:3">
      <c r="A331" s="1"/>
      <c r="B331" s="1"/>
      <c r="C331" s="1"/>
    </row>
    <row r="332" spans="1:3">
      <c r="A332" s="1"/>
      <c r="B332" s="1"/>
      <c r="C332" s="1"/>
    </row>
    <row r="333" spans="1:3">
      <c r="A333" s="1"/>
      <c r="B333" s="1"/>
      <c r="C333" s="1"/>
    </row>
    <row r="334" spans="1:3">
      <c r="A334" s="1"/>
      <c r="B334" s="1"/>
      <c r="C334" s="1"/>
    </row>
    <row r="335" spans="1:3">
      <c r="A335" s="1"/>
      <c r="B335" s="1"/>
      <c r="C335" s="1"/>
    </row>
    <row r="336" spans="1:3">
      <c r="A336" s="1"/>
      <c r="B336" s="1"/>
      <c r="C336" s="1"/>
    </row>
    <row r="337" spans="1:3">
      <c r="A337" s="1"/>
      <c r="B337" s="1"/>
      <c r="C337" s="1"/>
    </row>
    <row r="338" spans="1:3">
      <c r="A338" s="1"/>
      <c r="B338" s="1"/>
      <c r="C338" s="1"/>
    </row>
    <row r="339" spans="1:3">
      <c r="A339" s="1"/>
      <c r="B339" s="1"/>
      <c r="C339" s="1"/>
    </row>
    <row r="340" spans="1:3">
      <c r="A340" s="1"/>
      <c r="B340" s="1"/>
      <c r="C340" s="1"/>
    </row>
    <row r="341" spans="1:3">
      <c r="A341" s="1"/>
      <c r="B341" s="1"/>
      <c r="C341" s="1"/>
    </row>
    <row r="342" spans="1:3">
      <c r="A342" s="1"/>
      <c r="B342" s="1"/>
      <c r="C342" s="1"/>
    </row>
    <row r="343" spans="1:3">
      <c r="A343" s="1"/>
      <c r="B343" s="1"/>
      <c r="C343" s="1"/>
    </row>
    <row r="344" spans="1:3">
      <c r="A344" s="1"/>
      <c r="B344" s="1"/>
      <c r="C344" s="1"/>
    </row>
    <row r="345" spans="1:3">
      <c r="A345" s="1"/>
      <c r="B345" s="1"/>
      <c r="C345" s="1"/>
    </row>
    <row r="346" spans="1:3">
      <c r="A346" s="1"/>
      <c r="B346" s="1"/>
      <c r="C346" s="1"/>
    </row>
    <row r="347" spans="1:3">
      <c r="A347" s="1"/>
      <c r="B347" s="1"/>
      <c r="C347" s="1"/>
    </row>
    <row r="348" spans="1:3">
      <c r="A348" s="1"/>
      <c r="B348" s="1"/>
      <c r="C348" s="1"/>
    </row>
    <row r="349" spans="1:3">
      <c r="A349" s="1"/>
      <c r="B349" s="1"/>
      <c r="C349" s="1"/>
    </row>
    <row r="350" spans="1:3">
      <c r="A350" s="1"/>
      <c r="B350" s="1"/>
      <c r="C350" s="1"/>
    </row>
    <row r="351" spans="1:3">
      <c r="A351" s="1"/>
      <c r="B351" s="1"/>
      <c r="C351" s="1"/>
    </row>
    <row r="352" spans="1:3">
      <c r="A352" s="1"/>
      <c r="B352" s="1"/>
      <c r="C352" s="1"/>
    </row>
    <row r="353" spans="1:3">
      <c r="A353" s="1"/>
      <c r="B353" s="1"/>
      <c r="C353" s="1"/>
    </row>
    <row r="354" spans="1:3">
      <c r="A354" s="1"/>
      <c r="B354" s="1"/>
      <c r="C354" s="1"/>
    </row>
    <row r="355" spans="1:3">
      <c r="A355" s="1"/>
      <c r="B355" s="1"/>
      <c r="C355" s="1"/>
    </row>
    <row r="356" spans="1:3">
      <c r="A356" s="1"/>
      <c r="B356" s="1"/>
      <c r="C356" s="1"/>
    </row>
    <row r="357" spans="1:3">
      <c r="A357" s="1"/>
      <c r="B357" s="1"/>
      <c r="C357" s="1"/>
    </row>
    <row r="358" spans="1:3">
      <c r="A358" s="1"/>
      <c r="B358" s="1"/>
      <c r="C358" s="1"/>
    </row>
    <row r="359" spans="1:3">
      <c r="A359" s="1"/>
      <c r="B359" s="1"/>
      <c r="C359" s="1"/>
    </row>
    <row r="360" spans="1:3">
      <c r="A360" s="1"/>
      <c r="B360" s="1"/>
      <c r="C360" s="1"/>
    </row>
    <row r="361" spans="1:3">
      <c r="A361" s="1"/>
      <c r="B361" s="1"/>
      <c r="C361" s="1"/>
    </row>
    <row r="362" spans="1:3">
      <c r="A362" s="1"/>
      <c r="B362" s="1"/>
      <c r="C362" s="1"/>
    </row>
    <row r="363" spans="1:3">
      <c r="A363" s="1"/>
      <c r="B363" s="1"/>
      <c r="C363" s="1"/>
    </row>
    <row r="364" spans="1:3">
      <c r="A364" s="1"/>
      <c r="B364" s="1"/>
      <c r="C364" s="1"/>
    </row>
    <row r="365" spans="1:3">
      <c r="A365" s="1"/>
      <c r="B365" s="1"/>
      <c r="C365" s="1"/>
    </row>
    <row r="366" spans="1:3">
      <c r="A366" s="1"/>
      <c r="B366" s="1"/>
      <c r="C366" s="1"/>
    </row>
    <row r="367" spans="1:3">
      <c r="A367" s="1"/>
      <c r="B367" s="1"/>
      <c r="C367" s="1"/>
    </row>
    <row r="368" spans="1:3">
      <c r="A368" s="1"/>
      <c r="B368" s="1"/>
      <c r="C368" s="1"/>
    </row>
    <row r="369" spans="1:3">
      <c r="A369" s="1"/>
      <c r="B369" s="1"/>
      <c r="C369" s="1"/>
    </row>
    <row r="370" spans="1:3">
      <c r="A370" s="1"/>
      <c r="B370" s="1"/>
      <c r="C370" s="1"/>
    </row>
    <row r="371" spans="1:3">
      <c r="A371" s="1"/>
      <c r="B371" s="1"/>
      <c r="C371" s="1"/>
    </row>
    <row r="372" spans="1:3">
      <c r="A372" s="1"/>
      <c r="B372" s="1"/>
      <c r="C372" s="1"/>
    </row>
    <row r="373" spans="1:3">
      <c r="A373" s="1"/>
      <c r="B373" s="1"/>
      <c r="C373" s="1"/>
    </row>
    <row r="374" spans="1:3">
      <c r="A374" s="1"/>
      <c r="B374" s="1"/>
      <c r="C374" s="1"/>
    </row>
    <row r="375" spans="1:3">
      <c r="A375" s="1"/>
      <c r="B375" s="1"/>
      <c r="C375" s="1"/>
    </row>
    <row r="376" spans="1:3">
      <c r="A376" s="1"/>
      <c r="B376" s="1"/>
      <c r="C376" s="1"/>
    </row>
    <row r="377" spans="1:3">
      <c r="A377" s="1"/>
      <c r="B377" s="1"/>
      <c r="C377" s="1"/>
    </row>
    <row r="378" spans="1:3">
      <c r="A378" s="1"/>
      <c r="B378" s="1"/>
      <c r="C378" s="1"/>
    </row>
    <row r="379" spans="1:3">
      <c r="A379" s="1"/>
      <c r="B379" s="1"/>
      <c r="C379" s="1"/>
    </row>
    <row r="380" spans="1:3">
      <c r="A380" s="1"/>
      <c r="B380" s="1"/>
      <c r="C380" s="1"/>
    </row>
    <row r="381" spans="1:3">
      <c r="A381" s="1"/>
      <c r="B381" s="1"/>
      <c r="C381" s="1"/>
    </row>
    <row r="382" spans="1:3">
      <c r="A382" s="1"/>
      <c r="B382" s="1"/>
      <c r="C382" s="1"/>
    </row>
    <row r="383" spans="1:3">
      <c r="A383" s="1"/>
      <c r="B383" s="1"/>
      <c r="C383" s="1"/>
    </row>
    <row r="384" spans="1:3">
      <c r="A384" s="1"/>
      <c r="B384" s="1"/>
      <c r="C384" s="1"/>
    </row>
    <row r="385" spans="1:3">
      <c r="A385" s="1"/>
      <c r="B385" s="1"/>
      <c r="C385" s="1"/>
    </row>
    <row r="386" spans="1:3">
      <c r="A386" s="1"/>
      <c r="B386" s="1"/>
      <c r="C386" s="1"/>
    </row>
    <row r="387" spans="1:3">
      <c r="A387" s="1"/>
      <c r="B387" s="1"/>
      <c r="C387" s="1"/>
    </row>
    <row r="388" spans="1:3">
      <c r="A388" s="1"/>
      <c r="B388" s="1"/>
      <c r="C388" s="1"/>
    </row>
    <row r="389" spans="1:3">
      <c r="A389" s="1"/>
      <c r="B389" s="1"/>
      <c r="C389" s="1"/>
    </row>
    <row r="390" spans="1:3">
      <c r="A390" s="1"/>
      <c r="B390" s="1"/>
      <c r="C390" s="1"/>
    </row>
    <row r="391" spans="1:3">
      <c r="A391" s="1"/>
      <c r="B391" s="1"/>
      <c r="C391" s="1"/>
    </row>
    <row r="392" spans="1:3">
      <c r="A392" s="1"/>
      <c r="B392" s="1"/>
      <c r="C392" s="1"/>
    </row>
    <row r="393" spans="1:3">
      <c r="A393" s="1"/>
      <c r="B393" s="1"/>
      <c r="C393" s="1"/>
    </row>
    <row r="394" spans="1:3">
      <c r="A394" s="1"/>
      <c r="B394" s="1"/>
      <c r="C394" s="1"/>
    </row>
    <row r="395" spans="1:3">
      <c r="A395" s="1"/>
      <c r="B395" s="1"/>
      <c r="C395" s="1"/>
    </row>
    <row r="396" spans="1:3">
      <c r="A396" s="1"/>
      <c r="B396" s="1"/>
      <c r="C396" s="1"/>
    </row>
    <row r="397" spans="1:3">
      <c r="A397" s="1"/>
      <c r="B397" s="1"/>
      <c r="C397" s="1"/>
    </row>
    <row r="398" spans="1:3">
      <c r="A398" s="1"/>
      <c r="B398" s="1"/>
      <c r="C398" s="1"/>
    </row>
    <row r="399" spans="1:3">
      <c r="A399" s="1"/>
      <c r="B399" s="1"/>
      <c r="C399" s="1"/>
    </row>
    <row r="400" spans="1:3">
      <c r="A400" s="1"/>
      <c r="B400" s="1"/>
      <c r="C400" s="1"/>
    </row>
    <row r="401" spans="1:3">
      <c r="A401" s="1"/>
      <c r="B401" s="1"/>
      <c r="C401" s="1"/>
    </row>
    <row r="402" spans="1:3">
      <c r="A402" s="1"/>
      <c r="B402" s="1"/>
      <c r="C402" s="1"/>
    </row>
    <row r="403" spans="1:3">
      <c r="A403" s="1"/>
      <c r="B403" s="1"/>
      <c r="C403" s="1"/>
    </row>
    <row r="404" spans="1:3">
      <c r="A404" s="1"/>
      <c r="B404" s="1"/>
      <c r="C404" s="1"/>
    </row>
    <row r="405" spans="1:3">
      <c r="A405" s="1"/>
      <c r="B405" s="1"/>
      <c r="C405" s="1"/>
    </row>
    <row r="406" spans="1:3">
      <c r="A406" s="1"/>
      <c r="B406" s="1"/>
      <c r="C406" s="1"/>
    </row>
    <row r="407" spans="1:3">
      <c r="A407" s="1"/>
      <c r="B407" s="1"/>
      <c r="C407" s="1"/>
    </row>
    <row r="408" spans="1:3">
      <c r="A408" s="1"/>
      <c r="B408" s="1"/>
      <c r="C408" s="1"/>
    </row>
    <row r="409" spans="1:3">
      <c r="A409" s="1"/>
      <c r="B409" s="1"/>
      <c r="C409" s="1"/>
    </row>
    <row r="410" spans="1:3">
      <c r="A410" s="1"/>
      <c r="B410" s="1"/>
      <c r="C410" s="1"/>
    </row>
    <row r="411" spans="1:3">
      <c r="A411" s="1"/>
      <c r="B411" s="1"/>
      <c r="C411" s="1"/>
    </row>
    <row r="412" spans="1:3">
      <c r="A412" s="1"/>
      <c r="B412" s="1"/>
      <c r="C412" s="1"/>
    </row>
    <row r="413" spans="1:3">
      <c r="A413" s="1"/>
      <c r="B413" s="1"/>
      <c r="C413" s="1"/>
    </row>
    <row r="414" spans="1:3">
      <c r="A414" s="1"/>
      <c r="B414" s="1"/>
      <c r="C414" s="1"/>
    </row>
    <row r="415" spans="1:3">
      <c r="A415" s="1"/>
      <c r="B415" s="1"/>
      <c r="C415" s="1"/>
    </row>
    <row r="416" spans="1:3">
      <c r="A416" s="1"/>
      <c r="B416" s="1"/>
      <c r="C416" s="1"/>
    </row>
    <row r="417" spans="1:3">
      <c r="A417" s="1"/>
      <c r="B417" s="1"/>
      <c r="C417" s="1"/>
    </row>
    <row r="418" spans="1:3">
      <c r="A418" s="1"/>
      <c r="B418" s="1"/>
      <c r="C418" s="1"/>
    </row>
    <row r="419" spans="1:3">
      <c r="A419" s="1"/>
      <c r="B419" s="1"/>
      <c r="C419" s="1"/>
    </row>
    <row r="420" spans="1:3">
      <c r="A420" s="1"/>
      <c r="B420" s="1"/>
      <c r="C420" s="1"/>
    </row>
    <row r="421" spans="1:3">
      <c r="A421" s="1"/>
      <c r="B421" s="1"/>
      <c r="C421" s="1"/>
    </row>
    <row r="422" spans="1:3">
      <c r="A422" s="1"/>
      <c r="B422" s="1"/>
      <c r="C422" s="1"/>
    </row>
    <row r="423" spans="1:3">
      <c r="A423" s="1"/>
      <c r="B423" s="1"/>
      <c r="C423" s="1"/>
    </row>
    <row r="424" spans="1:3">
      <c r="A424" s="1"/>
      <c r="B424" s="1"/>
      <c r="C424" s="1"/>
    </row>
    <row r="425" spans="1:3">
      <c r="A425" s="1"/>
      <c r="B425" s="1"/>
      <c r="C425" s="1"/>
    </row>
    <row r="426" spans="1:3">
      <c r="A426" s="1"/>
      <c r="B426" s="1"/>
      <c r="C426" s="1"/>
    </row>
    <row r="427" spans="1:3">
      <c r="A427" s="1"/>
      <c r="B427" s="1"/>
      <c r="C427" s="1"/>
    </row>
    <row r="428" spans="1:3">
      <c r="A428" s="1"/>
      <c r="B428" s="1"/>
      <c r="C428" s="1"/>
    </row>
    <row r="429" spans="1:3">
      <c r="A429" s="1"/>
      <c r="B429" s="1"/>
      <c r="C429" s="1"/>
    </row>
    <row r="430" spans="1:3">
      <c r="A430" s="1"/>
      <c r="B430" s="1"/>
      <c r="C430" s="1"/>
    </row>
    <row r="431" spans="1:3">
      <c r="A431" s="1"/>
      <c r="B431" s="1"/>
      <c r="C431" s="1"/>
    </row>
    <row r="432" spans="1:3">
      <c r="A432" s="1"/>
      <c r="B432" s="1"/>
      <c r="C432" s="1"/>
    </row>
    <row r="433" spans="1:3">
      <c r="A433" s="1"/>
      <c r="B433" s="1"/>
      <c r="C433" s="1"/>
    </row>
    <row r="434" spans="1:3">
      <c r="A434" s="1"/>
      <c r="B434" s="1"/>
      <c r="C434" s="1"/>
    </row>
    <row r="435" spans="1:3">
      <c r="A435" s="1"/>
      <c r="B435" s="1"/>
      <c r="C435" s="1"/>
    </row>
    <row r="436" spans="1:3">
      <c r="A436" s="1"/>
      <c r="B436" s="1"/>
      <c r="C436" s="1"/>
    </row>
    <row r="437" spans="1:3">
      <c r="A437" s="1"/>
      <c r="B437" s="1"/>
      <c r="C437" s="1"/>
    </row>
    <row r="438" spans="1:3">
      <c r="A438" s="1"/>
      <c r="B438" s="1"/>
      <c r="C438" s="1"/>
    </row>
    <row r="439" spans="1:3">
      <c r="A439" s="1"/>
      <c r="B439" s="1"/>
      <c r="C439" s="1"/>
    </row>
    <row r="440" spans="1:3">
      <c r="A440" s="1"/>
      <c r="B440" s="1"/>
      <c r="C440" s="1"/>
    </row>
    <row r="441" spans="1:3">
      <c r="A441" s="1"/>
      <c r="B441" s="1"/>
      <c r="C441" s="1"/>
    </row>
    <row r="442" spans="1:3">
      <c r="A442" s="1"/>
      <c r="B442" s="1"/>
      <c r="C442" s="1"/>
    </row>
    <row r="443" spans="1:3">
      <c r="A443" s="1"/>
      <c r="B443" s="1"/>
      <c r="C443" s="1"/>
    </row>
    <row r="444" spans="1:3">
      <c r="A444" s="1"/>
      <c r="B444" s="1"/>
      <c r="C444" s="1"/>
    </row>
    <row r="445" spans="1:3">
      <c r="A445" s="1"/>
      <c r="B445" s="1"/>
      <c r="C445" s="1"/>
    </row>
    <row r="446" spans="1:3">
      <c r="A446" s="1"/>
      <c r="B446" s="1"/>
      <c r="C446" s="1"/>
    </row>
    <row r="447" spans="1:3">
      <c r="A447" s="1"/>
      <c r="B447" s="1"/>
      <c r="C447" s="1"/>
    </row>
    <row r="448" spans="1:3">
      <c r="A448" s="1"/>
      <c r="B448" s="1"/>
      <c r="C448" s="1"/>
    </row>
    <row r="449" spans="1:3">
      <c r="A449" s="1"/>
      <c r="B449" s="1"/>
      <c r="C449" s="1"/>
    </row>
    <row r="450" spans="1:3">
      <c r="A450" s="1"/>
      <c r="B450" s="1"/>
      <c r="C450" s="1"/>
    </row>
    <row r="451" spans="1:3">
      <c r="A451" s="1"/>
      <c r="B451" s="1"/>
      <c r="C451" s="1"/>
    </row>
    <row r="452" spans="1:3">
      <c r="A452" s="1"/>
      <c r="B452" s="1"/>
      <c r="C452" s="1"/>
    </row>
    <row r="453" spans="1:3">
      <c r="A453" s="1"/>
      <c r="B453" s="1"/>
      <c r="C453" s="1"/>
    </row>
    <row r="454" spans="1:3">
      <c r="A454" s="1"/>
      <c r="B454" s="1"/>
      <c r="C454" s="1"/>
    </row>
    <row r="455" spans="1:3">
      <c r="A455" s="1"/>
      <c r="B455" s="1"/>
      <c r="C455" s="1"/>
    </row>
    <row r="456" spans="1:3">
      <c r="A456" s="1"/>
      <c r="B456" s="1"/>
      <c r="C456" s="1"/>
    </row>
    <row r="457" spans="1:3">
      <c r="A457" s="1"/>
      <c r="B457" s="1"/>
      <c r="C457" s="1"/>
    </row>
    <row r="458" spans="1:3">
      <c r="A458" s="1"/>
      <c r="B458" s="1"/>
      <c r="C458" s="1"/>
    </row>
    <row r="459" spans="1:3">
      <c r="A459" s="1"/>
      <c r="B459" s="1"/>
      <c r="C459" s="1"/>
    </row>
    <row r="460" spans="1:3">
      <c r="A460" s="1"/>
      <c r="B460" s="1"/>
      <c r="C460" s="1"/>
    </row>
    <row r="461" spans="1:3">
      <c r="A461" s="1"/>
      <c r="B461" s="1"/>
      <c r="C461" s="1"/>
    </row>
    <row r="462" spans="1:3">
      <c r="A462" s="1"/>
      <c r="B462" s="1"/>
      <c r="C462" s="1"/>
    </row>
    <row r="463" spans="1:3">
      <c r="A463" s="1"/>
      <c r="B463" s="1"/>
      <c r="C463" s="1"/>
    </row>
    <row r="464" spans="1:3">
      <c r="A464" s="1"/>
      <c r="B464" s="1"/>
      <c r="C464" s="1"/>
    </row>
    <row r="465" spans="1:3">
      <c r="A465" s="1"/>
      <c r="B465" s="1"/>
      <c r="C465" s="1"/>
    </row>
    <row r="466" spans="1:3">
      <c r="A466" s="1"/>
      <c r="B466" s="1"/>
      <c r="C466" s="1"/>
    </row>
    <row r="467" spans="1:3">
      <c r="A467" s="1"/>
      <c r="B467" s="1"/>
      <c r="C467" s="1"/>
    </row>
    <row r="468" spans="1:3">
      <c r="A468" s="1"/>
      <c r="B468" s="1"/>
      <c r="C468" s="1"/>
    </row>
    <row r="469" spans="1:3">
      <c r="A469" s="1"/>
      <c r="B469" s="1"/>
      <c r="C469" s="1"/>
    </row>
    <row r="470" spans="1:3">
      <c r="A470" s="1"/>
      <c r="B470" s="1"/>
      <c r="C470" s="1"/>
    </row>
    <row r="471" spans="1:3">
      <c r="A471" s="1"/>
      <c r="B471" s="1"/>
      <c r="C471" s="1"/>
    </row>
    <row r="472" spans="1:3">
      <c r="A472" s="1"/>
      <c r="B472" s="1"/>
      <c r="C472" s="1"/>
    </row>
    <row r="473" spans="1:3">
      <c r="A473" s="1"/>
      <c r="B473" s="1"/>
      <c r="C473" s="1"/>
    </row>
    <row r="474" spans="1:3">
      <c r="A474" s="1"/>
      <c r="B474" s="1"/>
      <c r="C474" s="1"/>
    </row>
    <row r="475" spans="1:3">
      <c r="A475" s="1"/>
      <c r="B475" s="1"/>
      <c r="C475" s="1"/>
    </row>
    <row r="476" spans="1:3">
      <c r="A476" s="1"/>
      <c r="B476" s="1"/>
      <c r="C476" s="1"/>
    </row>
    <row r="477" spans="1:3">
      <c r="A477" s="1"/>
      <c r="B477" s="1"/>
      <c r="C477" s="1"/>
    </row>
    <row r="478" spans="1:3">
      <c r="A478" s="1"/>
      <c r="B478" s="1"/>
      <c r="C478" s="1"/>
    </row>
    <row r="479" spans="1:3">
      <c r="A479" s="1"/>
      <c r="B479" s="1"/>
      <c r="C479" s="1"/>
    </row>
    <row r="480" spans="1:3">
      <c r="A480" s="1"/>
      <c r="B480" s="1"/>
      <c r="C480" s="1"/>
    </row>
    <row r="481" spans="1:3">
      <c r="A481" s="1"/>
      <c r="B481" s="1"/>
      <c r="C481" s="1"/>
    </row>
    <row r="482" spans="1:3">
      <c r="A482" s="1"/>
      <c r="B482" s="1"/>
      <c r="C482" s="1"/>
    </row>
    <row r="483" spans="1:3">
      <c r="A483" s="1"/>
      <c r="B483" s="1"/>
      <c r="C483" s="1"/>
    </row>
    <row r="484" spans="1:3">
      <c r="A484" s="1"/>
      <c r="B484" s="1"/>
      <c r="C484" s="1"/>
    </row>
    <row r="485" spans="1:3">
      <c r="A485" s="1"/>
      <c r="B485" s="1"/>
      <c r="C485" s="1"/>
    </row>
    <row r="486" spans="1:3">
      <c r="A486" s="1"/>
      <c r="B486" s="1"/>
      <c r="C486" s="1"/>
    </row>
    <row r="487" spans="1:3">
      <c r="A487" s="1"/>
      <c r="B487" s="1"/>
      <c r="C487" s="1"/>
    </row>
    <row r="488" spans="1:3">
      <c r="A488" s="1"/>
      <c r="B488" s="1"/>
      <c r="C488" s="1"/>
    </row>
    <row r="489" spans="1:3">
      <c r="A489" s="1"/>
      <c r="B489" s="1"/>
      <c r="C489" s="1"/>
    </row>
    <row r="490" spans="1:3">
      <c r="A490" s="1"/>
      <c r="B490" s="1"/>
      <c r="C490" s="1"/>
    </row>
    <row r="491" spans="1:3">
      <c r="A491" s="1"/>
      <c r="B491" s="1"/>
      <c r="C491" s="1"/>
    </row>
    <row r="492" spans="1:3">
      <c r="A492" s="1"/>
      <c r="B492" s="1"/>
      <c r="C492" s="1"/>
    </row>
    <row r="493" spans="1:3">
      <c r="A493" s="1"/>
      <c r="B493" s="1"/>
      <c r="C493" s="1"/>
    </row>
    <row r="494" spans="1:3">
      <c r="A494" s="1"/>
      <c r="B494" s="1"/>
      <c r="C494" s="1"/>
    </row>
    <row r="495" spans="1:3">
      <c r="A495" s="1"/>
      <c r="B495" s="1"/>
      <c r="C495" s="1"/>
    </row>
    <row r="496" spans="1:3">
      <c r="A496" s="1"/>
      <c r="B496" s="1"/>
      <c r="C496" s="1"/>
    </row>
    <row r="497" spans="1:3">
      <c r="A497" s="1"/>
      <c r="B497" s="1"/>
      <c r="C497" s="1"/>
    </row>
    <row r="498" spans="1:3">
      <c r="A498" s="1"/>
      <c r="B498" s="1"/>
      <c r="C498" s="1"/>
    </row>
    <row r="499" spans="1:3">
      <c r="A499" s="1"/>
      <c r="B499" s="1"/>
      <c r="C499" s="1"/>
    </row>
    <row r="500" spans="1:3">
      <c r="A500" s="1"/>
      <c r="B500" s="1"/>
      <c r="C500" s="1"/>
    </row>
    <row r="501" spans="1:3">
      <c r="A501" s="1"/>
      <c r="B501" s="1"/>
      <c r="C501" s="1"/>
    </row>
    <row r="502" spans="1:3">
      <c r="A502" s="1"/>
      <c r="B502" s="1"/>
      <c r="C502" s="1"/>
    </row>
    <row r="503" spans="1:3">
      <c r="A503" s="1"/>
      <c r="B503" s="1"/>
      <c r="C503" s="1"/>
    </row>
    <row r="504" spans="1:3">
      <c r="A504" s="1"/>
      <c r="B504" s="1"/>
      <c r="C504" s="1"/>
    </row>
    <row r="505" spans="1:3">
      <c r="A505" s="1"/>
      <c r="B505" s="1"/>
      <c r="C505" s="1"/>
    </row>
    <row r="506" spans="1:3">
      <c r="A506" s="1"/>
      <c r="B506" s="1"/>
      <c r="C506" s="1"/>
    </row>
    <row r="507" spans="1:3">
      <c r="A507" s="1"/>
      <c r="B507" s="1"/>
      <c r="C507" s="1"/>
    </row>
    <row r="508" spans="1:3">
      <c r="A508" s="1"/>
      <c r="B508" s="1"/>
      <c r="C508" s="1"/>
    </row>
    <row r="509" spans="1:3">
      <c r="A509" s="1"/>
      <c r="B509" s="1"/>
      <c r="C509" s="1"/>
    </row>
    <row r="510" spans="1:3">
      <c r="A510" s="1"/>
      <c r="B510" s="1"/>
      <c r="C510" s="1"/>
    </row>
    <row r="511" spans="1:3">
      <c r="A511" s="1"/>
      <c r="B511" s="1"/>
      <c r="C511" s="1"/>
    </row>
    <row r="512" spans="1:3">
      <c r="A512" s="1"/>
      <c r="B512" s="1"/>
      <c r="C512" s="1"/>
    </row>
    <row r="513" spans="1:3">
      <c r="A513" s="1"/>
      <c r="B513" s="1"/>
      <c r="C513" s="1"/>
    </row>
    <row r="514" spans="1:3">
      <c r="A514" s="1"/>
      <c r="B514" s="1"/>
      <c r="C514" s="1"/>
    </row>
    <row r="515" spans="1:3">
      <c r="A515" s="1"/>
      <c r="B515" s="1"/>
      <c r="C515" s="1"/>
    </row>
    <row r="516" spans="1:3">
      <c r="A516" s="1"/>
      <c r="B516" s="1"/>
      <c r="C516" s="1"/>
    </row>
    <row r="517" spans="1:3">
      <c r="A517" s="1"/>
      <c r="B517" s="1"/>
      <c r="C517" s="1"/>
    </row>
    <row r="518" spans="1:3">
      <c r="A518" s="1"/>
      <c r="B518" s="1"/>
      <c r="C518" s="1"/>
    </row>
    <row r="519" spans="1:3">
      <c r="A519" s="1"/>
      <c r="B519" s="1"/>
      <c r="C519" s="1"/>
    </row>
    <row r="520" spans="1:3">
      <c r="A520" s="1"/>
      <c r="B520" s="1"/>
      <c r="C520" s="1"/>
    </row>
    <row r="521" spans="1:3">
      <c r="A521" s="1"/>
      <c r="B521" s="1"/>
      <c r="C521" s="1"/>
    </row>
    <row r="522" spans="1:3">
      <c r="A522" s="1"/>
      <c r="B522" s="1"/>
      <c r="C522" s="1"/>
    </row>
    <row r="523" spans="1:3">
      <c r="A523" s="1"/>
      <c r="B523" s="1"/>
      <c r="C523" s="1"/>
    </row>
    <row r="524" spans="1:3">
      <c r="A524" s="1"/>
      <c r="B524" s="1"/>
      <c r="C524" s="1"/>
    </row>
    <row r="525" spans="1:3">
      <c r="A525" s="1"/>
      <c r="B525" s="1"/>
      <c r="C525" s="1"/>
    </row>
    <row r="526" spans="1:3">
      <c r="A526" s="1"/>
      <c r="B526" s="1"/>
      <c r="C526" s="1"/>
    </row>
    <row r="527" spans="1:3">
      <c r="A527" s="1"/>
      <c r="B527" s="1"/>
      <c r="C527" s="1"/>
    </row>
    <row r="528" spans="1:3">
      <c r="A528" s="1"/>
      <c r="B528" s="1"/>
      <c r="C528" s="1"/>
    </row>
    <row r="529" spans="1:3">
      <c r="A529" s="1"/>
      <c r="B529" s="1"/>
      <c r="C529" s="1"/>
    </row>
    <row r="530" spans="1:3">
      <c r="A530" s="1"/>
      <c r="B530" s="1"/>
      <c r="C530" s="1"/>
    </row>
    <row r="531" spans="1:3">
      <c r="A531" s="1"/>
      <c r="B531" s="1"/>
      <c r="C531" s="1"/>
    </row>
    <row r="532" spans="1:3">
      <c r="A532" s="1"/>
      <c r="B532" s="1"/>
      <c r="C532" s="1"/>
    </row>
    <row r="533" spans="1:3">
      <c r="A533" s="1"/>
      <c r="B533" s="1"/>
      <c r="C533" s="1"/>
    </row>
    <row r="534" spans="1:3">
      <c r="A534" s="1"/>
      <c r="B534" s="1"/>
      <c r="C534" s="1"/>
    </row>
    <row r="535" spans="1:3">
      <c r="A535" s="1"/>
      <c r="B535" s="1"/>
      <c r="C535" s="1"/>
    </row>
    <row r="536" spans="1:3">
      <c r="A536" s="1"/>
      <c r="B536" s="1"/>
      <c r="C536" s="1"/>
    </row>
    <row r="537" spans="1:3">
      <c r="A537" s="1"/>
      <c r="B537" s="1"/>
      <c r="C537" s="1"/>
    </row>
    <row r="538" spans="1:3">
      <c r="A538" s="1"/>
      <c r="B538" s="1"/>
      <c r="C538" s="1"/>
    </row>
    <row r="539" spans="1:3">
      <c r="A539" s="1"/>
      <c r="B539" s="1"/>
      <c r="C539" s="1"/>
    </row>
    <row r="540" spans="1:3">
      <c r="A540" s="1"/>
      <c r="B540" s="1"/>
      <c r="C540" s="1"/>
    </row>
    <row r="541" spans="1:3">
      <c r="A541" s="1"/>
      <c r="B541" s="1"/>
      <c r="C541" s="1"/>
    </row>
    <row r="542" spans="1:3">
      <c r="A542" s="1"/>
      <c r="B542" s="1"/>
      <c r="C542" s="1"/>
    </row>
    <row r="543" spans="1:3">
      <c r="A543" s="1"/>
      <c r="B543" s="1"/>
      <c r="C543" s="1"/>
    </row>
    <row r="544" spans="1:3">
      <c r="A544" s="1"/>
      <c r="B544" s="1"/>
      <c r="C544" s="1"/>
    </row>
    <row r="545" spans="1:3">
      <c r="A545" s="1"/>
      <c r="B545" s="1"/>
      <c r="C545" s="1"/>
    </row>
    <row r="546" spans="1:3">
      <c r="A546" s="1"/>
      <c r="B546" s="1"/>
      <c r="C546" s="1"/>
    </row>
    <row r="547" spans="1:3">
      <c r="A547" s="1"/>
      <c r="B547" s="1"/>
      <c r="C547" s="1"/>
    </row>
    <row r="548" spans="1:3">
      <c r="A548" s="1"/>
      <c r="B548" s="1"/>
      <c r="C548" s="1"/>
    </row>
    <row r="549" spans="1:3">
      <c r="A549" s="1"/>
      <c r="B549" s="1"/>
      <c r="C549" s="1"/>
    </row>
    <row r="550" spans="1:3">
      <c r="A550" s="1"/>
      <c r="B550" s="1"/>
      <c r="C550" s="1"/>
    </row>
    <row r="551" spans="1:3">
      <c r="A551" s="1"/>
      <c r="B551" s="1"/>
      <c r="C551" s="1"/>
    </row>
    <row r="552" spans="1:3">
      <c r="A552" s="1"/>
      <c r="B552" s="1"/>
      <c r="C552" s="1"/>
    </row>
    <row r="553" spans="1:3">
      <c r="A553" s="1"/>
      <c r="B553" s="1"/>
      <c r="C553" s="1"/>
    </row>
    <row r="554" spans="1:3">
      <c r="A554" s="1"/>
      <c r="B554" s="1"/>
      <c r="C554" s="1"/>
    </row>
    <row r="555" spans="1:3">
      <c r="A555" s="1"/>
      <c r="B555" s="1"/>
      <c r="C555" s="1"/>
    </row>
    <row r="556" spans="1:3">
      <c r="A556" s="1"/>
      <c r="B556" s="1"/>
      <c r="C556" s="1"/>
    </row>
    <row r="557" spans="1:3">
      <c r="A557" s="1"/>
      <c r="B557" s="1"/>
      <c r="C557" s="1"/>
    </row>
    <row r="558" spans="1:3">
      <c r="A558" s="1"/>
      <c r="B558" s="1"/>
      <c r="C558" s="1"/>
    </row>
    <row r="559" spans="1:3">
      <c r="A559" s="1"/>
      <c r="B559" s="1"/>
      <c r="C559" s="1"/>
    </row>
    <row r="560" spans="1:3">
      <c r="A560" s="1"/>
      <c r="B560" s="1"/>
      <c r="C560" s="1"/>
    </row>
    <row r="561" spans="1:3">
      <c r="A561" s="1"/>
      <c r="B561" s="1"/>
      <c r="C561" s="1"/>
    </row>
    <row r="562" spans="1:3">
      <c r="A562" s="1"/>
      <c r="B562" s="1"/>
      <c r="C562" s="1"/>
    </row>
    <row r="563" spans="1:3">
      <c r="A563" s="1"/>
      <c r="B563" s="1"/>
      <c r="C563" s="1"/>
    </row>
    <row r="564" spans="1:3">
      <c r="A564" s="1"/>
      <c r="B564" s="1"/>
      <c r="C564" s="1"/>
    </row>
    <row r="565" spans="1:3">
      <c r="A565" s="1"/>
      <c r="B565" s="1"/>
      <c r="C565" s="1"/>
    </row>
    <row r="566" spans="1:3">
      <c r="A566" s="1"/>
      <c r="B566" s="1"/>
      <c r="C566" s="1"/>
    </row>
    <row r="567" spans="1:3">
      <c r="A567" s="1"/>
      <c r="B567" s="1"/>
      <c r="C567" s="1"/>
    </row>
    <row r="568" spans="1:3">
      <c r="A568" s="1"/>
      <c r="B568" s="1"/>
      <c r="C568" s="1"/>
    </row>
    <row r="569" spans="1:3">
      <c r="A569" s="1"/>
      <c r="B569" s="1"/>
      <c r="C569" s="1"/>
    </row>
    <row r="570" spans="1:3">
      <c r="A570" s="1"/>
      <c r="B570" s="1"/>
      <c r="C570" s="1"/>
    </row>
    <row r="571" spans="1:3">
      <c r="A571" s="1"/>
      <c r="B571" s="1"/>
      <c r="C571" s="1"/>
    </row>
    <row r="572" spans="1:3">
      <c r="A572" s="1"/>
      <c r="B572" s="1"/>
      <c r="C572" s="1"/>
    </row>
    <row r="573" spans="1:3">
      <c r="A573" s="1"/>
      <c r="B573" s="1"/>
      <c r="C573" s="1"/>
    </row>
    <row r="574" spans="1:3">
      <c r="A574" s="1"/>
      <c r="B574" s="1"/>
      <c r="C574" s="1"/>
    </row>
    <row r="575" spans="1:3">
      <c r="A575" s="1"/>
      <c r="B575" s="1"/>
      <c r="C575" s="1"/>
    </row>
    <row r="576" spans="1:3">
      <c r="A576" s="1"/>
      <c r="B576" s="1"/>
      <c r="C576" s="1"/>
    </row>
    <row r="577" spans="1:3">
      <c r="A577" s="1"/>
      <c r="B577" s="1"/>
      <c r="C577" s="1"/>
    </row>
    <row r="578" spans="1:3">
      <c r="A578" s="1"/>
      <c r="B578" s="1"/>
      <c r="C578" s="1"/>
    </row>
    <row r="579" spans="1:3">
      <c r="A579" s="1"/>
      <c r="B579" s="1"/>
      <c r="C579" s="1"/>
    </row>
    <row r="580" spans="1:3">
      <c r="A580" s="1"/>
      <c r="B580" s="1"/>
      <c r="C580" s="1"/>
    </row>
    <row r="581" spans="1:3">
      <c r="A581" s="1"/>
      <c r="B581" s="1"/>
      <c r="C581" s="1"/>
    </row>
    <row r="582" spans="1:3">
      <c r="A582" s="1"/>
      <c r="B582" s="1"/>
      <c r="C582" s="1"/>
    </row>
    <row r="583" spans="1:3">
      <c r="A583" s="1"/>
      <c r="B583" s="1"/>
      <c r="C583" s="1"/>
    </row>
    <row r="584" spans="1:3">
      <c r="A584" s="1"/>
      <c r="B584" s="1"/>
      <c r="C584" s="1"/>
    </row>
    <row r="585" spans="1:3">
      <c r="A585" s="1"/>
      <c r="B585" s="1"/>
      <c r="C585" s="1"/>
    </row>
    <row r="586" spans="1:3">
      <c r="A586" s="1"/>
      <c r="B586" s="1"/>
      <c r="C586" s="1"/>
    </row>
    <row r="587" spans="1:3">
      <c r="A587" s="1"/>
      <c r="B587" s="1"/>
      <c r="C587" s="1"/>
    </row>
    <row r="588" spans="1:3">
      <c r="A588" s="1"/>
      <c r="B588" s="1"/>
      <c r="C588" s="1"/>
    </row>
    <row r="589" spans="1:3">
      <c r="A589" s="1"/>
      <c r="B589" s="1"/>
      <c r="C589" s="1"/>
    </row>
    <row r="590" spans="1:3">
      <c r="A590" s="1"/>
      <c r="B590" s="1"/>
      <c r="C590" s="1"/>
    </row>
    <row r="591" spans="1:3">
      <c r="A591" s="1"/>
      <c r="B591" s="1"/>
      <c r="C591" s="1"/>
    </row>
    <row r="592" spans="1:3">
      <c r="A592" s="1"/>
      <c r="B592" s="1"/>
      <c r="C592" s="1"/>
    </row>
    <row r="593" spans="1:3">
      <c r="A593" s="1"/>
      <c r="B593" s="1"/>
      <c r="C593" s="1"/>
    </row>
    <row r="594" spans="1:3">
      <c r="A594" s="1"/>
      <c r="B594" s="1"/>
      <c r="C594" s="1"/>
    </row>
    <row r="595" spans="1:3">
      <c r="A595" s="1"/>
      <c r="B595" s="1"/>
      <c r="C595" s="1"/>
    </row>
    <row r="596" spans="1:3">
      <c r="A596" s="1"/>
      <c r="B596" s="1"/>
      <c r="C596" s="1"/>
    </row>
    <row r="597" spans="1:3">
      <c r="A597" s="1"/>
      <c r="B597" s="1"/>
      <c r="C597" s="1"/>
    </row>
    <row r="598" spans="1:3">
      <c r="A598" s="1"/>
      <c r="B598" s="1"/>
      <c r="C598" s="1"/>
    </row>
    <row r="599" spans="1:3">
      <c r="A599" s="1"/>
      <c r="B599" s="1"/>
      <c r="C599" s="1"/>
    </row>
    <row r="600" spans="1:3">
      <c r="A600" s="1"/>
      <c r="B600" s="1"/>
      <c r="C600" s="1"/>
    </row>
    <row r="601" spans="1:3">
      <c r="A601" s="1"/>
      <c r="B601" s="1"/>
      <c r="C601" s="1"/>
    </row>
    <row r="602" spans="1:3">
      <c r="A602" s="1"/>
      <c r="B602" s="1"/>
      <c r="C602" s="1"/>
    </row>
    <row r="603" spans="1:3">
      <c r="A603" s="1"/>
      <c r="B603" s="1"/>
      <c r="C603" s="1"/>
    </row>
    <row r="604" spans="1:3">
      <c r="A604" s="1"/>
      <c r="B604" s="1"/>
      <c r="C604" s="1"/>
    </row>
    <row r="605" spans="1:3">
      <c r="A605" s="1"/>
      <c r="B605" s="1"/>
      <c r="C605" s="1"/>
    </row>
    <row r="606" spans="1:3">
      <c r="A606" s="1"/>
      <c r="B606" s="1"/>
      <c r="C606" s="1"/>
    </row>
    <row r="607" spans="1:3">
      <c r="A607" s="1"/>
      <c r="B607" s="1"/>
      <c r="C607" s="1"/>
    </row>
    <row r="608" spans="1:3">
      <c r="A608" s="1"/>
      <c r="B608" s="1"/>
      <c r="C608" s="1"/>
    </row>
    <row r="609" spans="1:3">
      <c r="A609" s="1"/>
      <c r="B609" s="1"/>
      <c r="C609" s="1"/>
    </row>
    <row r="610" spans="1:3">
      <c r="A610" s="1"/>
      <c r="B610" s="1"/>
      <c r="C610" s="1"/>
    </row>
    <row r="611" spans="1:3">
      <c r="A611" s="1"/>
      <c r="B611" s="1"/>
      <c r="C611" s="1"/>
    </row>
    <row r="612" spans="1:3">
      <c r="A612" s="1"/>
      <c r="B612" s="1"/>
      <c r="C612" s="1"/>
    </row>
    <row r="613" spans="1:3">
      <c r="A613" s="1"/>
      <c r="B613" s="1"/>
      <c r="C613" s="1"/>
    </row>
    <row r="614" spans="1:3">
      <c r="A614" s="1"/>
      <c r="B614" s="1"/>
      <c r="C614" s="1"/>
    </row>
    <row r="615" spans="1:3">
      <c r="A615" s="1"/>
      <c r="B615" s="1"/>
      <c r="C615" s="1"/>
    </row>
    <row r="616" spans="1:3">
      <c r="A616" s="1"/>
      <c r="B616" s="1"/>
      <c r="C616" s="1"/>
    </row>
    <row r="617" spans="1:3">
      <c r="A617" s="1"/>
      <c r="B617" s="1"/>
      <c r="C617" s="1"/>
    </row>
    <row r="618" spans="1:3">
      <c r="A618" s="1"/>
      <c r="B618" s="1"/>
      <c r="C618" s="1"/>
    </row>
    <row r="619" spans="1:3">
      <c r="A619" s="1"/>
      <c r="B619" s="1"/>
      <c r="C619" s="1"/>
    </row>
    <row r="620" spans="1:3">
      <c r="A620" s="1"/>
      <c r="B620" s="1"/>
      <c r="C620" s="1"/>
    </row>
    <row r="621" spans="1:3">
      <c r="A621" s="1"/>
      <c r="B621" s="1"/>
      <c r="C621" s="1"/>
    </row>
    <row r="622" spans="1:3">
      <c r="A622" s="1"/>
      <c r="B622" s="1"/>
      <c r="C622" s="1"/>
    </row>
    <row r="623" spans="1:3">
      <c r="A623" s="1"/>
      <c r="B623" s="1"/>
      <c r="C623" s="1"/>
    </row>
    <row r="624" spans="1:3">
      <c r="A624" s="1"/>
      <c r="B624" s="1"/>
      <c r="C624" s="1"/>
    </row>
    <row r="625" spans="1:3">
      <c r="A625" s="1"/>
      <c r="B625" s="1"/>
      <c r="C625" s="1"/>
    </row>
    <row r="626" spans="1:3">
      <c r="A626" s="1"/>
      <c r="B626" s="1"/>
      <c r="C626" s="1"/>
    </row>
    <row r="627" spans="1:3">
      <c r="A627" s="1"/>
      <c r="B627" s="1"/>
      <c r="C627" s="1"/>
    </row>
    <row r="628" spans="1:3">
      <c r="A628" s="1"/>
      <c r="B628" s="1"/>
      <c r="C628" s="1"/>
    </row>
    <row r="629" spans="1:3">
      <c r="A629" s="1"/>
      <c r="B629" s="1"/>
      <c r="C629" s="1"/>
    </row>
    <row r="630" spans="1:3">
      <c r="A630" s="1"/>
      <c r="B630" s="1"/>
      <c r="C630" s="1"/>
    </row>
    <row r="631" spans="1:3">
      <c r="A631" s="1"/>
      <c r="B631" s="1"/>
      <c r="C631" s="1"/>
    </row>
    <row r="632" spans="1:3">
      <c r="A632" s="1"/>
      <c r="B632" s="1"/>
      <c r="C632" s="1"/>
    </row>
    <row r="633" spans="1:3">
      <c r="A633" s="1"/>
      <c r="B633" s="1"/>
      <c r="C633" s="1"/>
    </row>
    <row r="634" spans="1:3">
      <c r="A634" s="1"/>
      <c r="B634" s="1"/>
      <c r="C634" s="1"/>
    </row>
    <row r="635" spans="1:3">
      <c r="A635" s="1"/>
      <c r="B635" s="1"/>
      <c r="C635" s="1"/>
    </row>
    <row r="636" spans="1:3">
      <c r="A636" s="1"/>
      <c r="B636" s="1"/>
      <c r="C636" s="1"/>
    </row>
    <row r="637" spans="1:3">
      <c r="A637" s="1"/>
      <c r="B637" s="1"/>
      <c r="C637" s="1"/>
    </row>
    <row r="638" spans="1:3">
      <c r="A638" s="1"/>
      <c r="B638" s="1"/>
      <c r="C638" s="1"/>
    </row>
    <row r="639" spans="1:3">
      <c r="A639" s="1"/>
      <c r="B639" s="1"/>
      <c r="C639" s="1"/>
    </row>
    <row r="640" spans="1:3">
      <c r="A640" s="1"/>
      <c r="B640" s="1"/>
      <c r="C640" s="1"/>
    </row>
    <row r="641" spans="1:3">
      <c r="A641" s="1"/>
      <c r="B641" s="1"/>
      <c r="C641" s="1"/>
    </row>
    <row r="642" spans="1:3">
      <c r="A642" s="1"/>
      <c r="B642" s="1"/>
      <c r="C642" s="1"/>
    </row>
    <row r="643" spans="1:3">
      <c r="A643" s="1"/>
      <c r="B643" s="1"/>
      <c r="C643" s="1"/>
    </row>
    <row r="644" spans="1:3">
      <c r="A644" s="1"/>
      <c r="B644" s="1"/>
      <c r="C644" s="1"/>
    </row>
    <row r="645" spans="1:3">
      <c r="A645" s="1"/>
      <c r="B645" s="1"/>
      <c r="C645" s="1"/>
    </row>
    <row r="646" spans="1:3">
      <c r="A646" s="1"/>
      <c r="B646" s="1"/>
      <c r="C646" s="1"/>
    </row>
    <row r="647" spans="1:3">
      <c r="A647" s="1"/>
      <c r="B647" s="1"/>
      <c r="C647" s="1"/>
    </row>
    <row r="648" spans="1:3">
      <c r="A648" s="1"/>
      <c r="B648" s="1"/>
      <c r="C648" s="1"/>
    </row>
    <row r="649" spans="1:3">
      <c r="A649" s="1"/>
      <c r="B649" s="1"/>
      <c r="C649" s="1"/>
    </row>
    <row r="650" spans="1:3">
      <c r="A650" s="1"/>
      <c r="B650" s="1"/>
      <c r="C650" s="1"/>
    </row>
    <row r="651" spans="1:3">
      <c r="A651" s="1"/>
      <c r="B651" s="1"/>
      <c r="C651" s="1"/>
    </row>
    <row r="652" spans="1:3">
      <c r="A652" s="1"/>
      <c r="B652" s="1"/>
      <c r="C652" s="1"/>
    </row>
    <row r="653" spans="1:3">
      <c r="A653" s="1"/>
      <c r="B653" s="1"/>
      <c r="C653" s="1"/>
    </row>
    <row r="654" spans="1:3">
      <c r="A654" s="1"/>
      <c r="B654" s="1"/>
      <c r="C654" s="1"/>
    </row>
    <row r="655" spans="1:3">
      <c r="A655" s="1"/>
      <c r="B655" s="1"/>
      <c r="C655" s="1"/>
    </row>
    <row r="656" spans="1:3">
      <c r="A656" s="1"/>
      <c r="B656" s="1"/>
      <c r="C656" s="1"/>
    </row>
    <row r="657" spans="1:3">
      <c r="A657" s="1"/>
      <c r="B657" s="1"/>
      <c r="C657" s="1"/>
    </row>
    <row r="658" spans="1:3">
      <c r="A658" s="1"/>
      <c r="B658" s="1"/>
      <c r="C658" s="1"/>
    </row>
    <row r="659" spans="1:3">
      <c r="A659" s="1"/>
      <c r="B659" s="1"/>
      <c r="C659" s="1"/>
    </row>
    <row r="660" spans="1:3">
      <c r="A660" s="1"/>
      <c r="B660" s="1"/>
      <c r="C660" s="1"/>
    </row>
    <row r="661" spans="1:3">
      <c r="A661" s="1"/>
      <c r="B661" s="1"/>
      <c r="C661" s="1"/>
    </row>
    <row r="662" spans="1:3">
      <c r="A662" s="1"/>
      <c r="B662" s="1"/>
      <c r="C662" s="1"/>
    </row>
    <row r="663" spans="1:3">
      <c r="A663" s="1"/>
      <c r="B663" s="1"/>
      <c r="C663" s="1"/>
    </row>
    <row r="664" spans="1:3">
      <c r="A664" s="1"/>
      <c r="B664" s="1"/>
      <c r="C664" s="1"/>
    </row>
    <row r="665" spans="1:3">
      <c r="A665" s="1"/>
      <c r="B665" s="1"/>
      <c r="C665" s="1"/>
    </row>
    <row r="666" spans="1:3">
      <c r="A666" s="1"/>
      <c r="B666" s="1"/>
      <c r="C666" s="1"/>
    </row>
    <row r="667" spans="1:3">
      <c r="A667" s="1"/>
      <c r="B667" s="1"/>
      <c r="C667" s="1"/>
    </row>
    <row r="668" spans="1:3">
      <c r="A668" s="1"/>
      <c r="B668" s="1"/>
      <c r="C668" s="1"/>
    </row>
    <row r="669" spans="1:3">
      <c r="A669" s="1"/>
      <c r="B669" s="1"/>
      <c r="C669" s="1"/>
    </row>
    <row r="670" spans="1:3">
      <c r="A670" s="1"/>
      <c r="B670" s="1"/>
      <c r="C670" s="1"/>
    </row>
    <row r="671" spans="1:3">
      <c r="A671" s="1"/>
      <c r="B671" s="1"/>
      <c r="C671" s="1"/>
    </row>
    <row r="672" spans="1:3">
      <c r="A672" s="1"/>
      <c r="B672" s="1"/>
      <c r="C672" s="1"/>
    </row>
    <row r="673" spans="1:3">
      <c r="A673" s="1"/>
      <c r="B673" s="1"/>
      <c r="C673" s="1"/>
    </row>
    <row r="674" spans="1:3">
      <c r="A674" s="1"/>
      <c r="B674" s="1"/>
      <c r="C674" s="1"/>
    </row>
    <row r="675" spans="1:3">
      <c r="A675" s="1"/>
      <c r="B675" s="1"/>
      <c r="C675" s="1"/>
    </row>
    <row r="676" spans="1:3">
      <c r="A676" s="1"/>
      <c r="B676" s="1"/>
      <c r="C676" s="1"/>
    </row>
    <row r="677" spans="1:3">
      <c r="A677" s="1"/>
      <c r="B677" s="1"/>
      <c r="C677" s="1"/>
    </row>
    <row r="678" spans="1:3">
      <c r="A678" s="1"/>
      <c r="B678" s="1"/>
      <c r="C678" s="1"/>
    </row>
    <row r="679" spans="1:3">
      <c r="A679" s="1"/>
      <c r="B679" s="1"/>
      <c r="C679" s="1"/>
    </row>
    <row r="680" spans="1:3">
      <c r="A680" s="1"/>
      <c r="B680" s="1"/>
      <c r="C680" s="1"/>
    </row>
    <row r="681" spans="1:3">
      <c r="A681" s="1"/>
      <c r="B681" s="1"/>
      <c r="C681" s="1"/>
    </row>
    <row r="682" spans="1:3">
      <c r="A682" s="1"/>
      <c r="B682" s="1"/>
      <c r="C682" s="1"/>
    </row>
    <row r="683" spans="1:3">
      <c r="A683" s="1"/>
      <c r="B683" s="1"/>
      <c r="C683" s="1"/>
    </row>
    <row r="684" spans="1:3">
      <c r="A684" s="1"/>
      <c r="B684" s="1"/>
      <c r="C684" s="1"/>
    </row>
    <row r="685" spans="1:3">
      <c r="A685" s="1"/>
      <c r="B685" s="1"/>
      <c r="C685" s="1"/>
    </row>
    <row r="686" spans="1:3">
      <c r="A686" s="1"/>
      <c r="B686" s="1"/>
      <c r="C686" s="1"/>
    </row>
    <row r="687" spans="1:3">
      <c r="A687" s="1"/>
      <c r="B687" s="1"/>
      <c r="C687" s="1"/>
    </row>
    <row r="688" spans="1:3">
      <c r="A688" s="1"/>
      <c r="B688" s="1"/>
      <c r="C688" s="1"/>
    </row>
    <row r="689" spans="1:3">
      <c r="A689" s="1"/>
      <c r="B689" s="1"/>
      <c r="C689" s="1"/>
    </row>
    <row r="690" spans="1:3">
      <c r="A690" s="1"/>
      <c r="B690" s="1"/>
      <c r="C690" s="1"/>
    </row>
    <row r="691" spans="1:3">
      <c r="A691" s="1"/>
      <c r="B691" s="1"/>
      <c r="C691" s="1"/>
    </row>
    <row r="692" spans="1:3">
      <c r="A692" s="1"/>
      <c r="B692" s="1"/>
      <c r="C692" s="1"/>
    </row>
    <row r="693" spans="1:3">
      <c r="A693" s="1"/>
      <c r="B693" s="1"/>
      <c r="C693" s="1"/>
    </row>
    <row r="694" spans="1:3">
      <c r="A694" s="1"/>
      <c r="B694" s="1"/>
      <c r="C694" s="1"/>
    </row>
    <row r="695" spans="1:3">
      <c r="A695" s="1"/>
      <c r="B695" s="1"/>
      <c r="C695" s="1"/>
    </row>
    <row r="696" spans="1:3">
      <c r="A696" s="1"/>
      <c r="B696" s="1"/>
      <c r="C696" s="1"/>
    </row>
    <row r="697" spans="1:3">
      <c r="A697" s="1"/>
      <c r="B697" s="1"/>
      <c r="C697" s="1"/>
    </row>
    <row r="698" spans="1:3">
      <c r="A698" s="1"/>
      <c r="B698" s="1"/>
      <c r="C698" s="1"/>
    </row>
    <row r="699" spans="1:3">
      <c r="A699" s="1"/>
      <c r="B699" s="1"/>
      <c r="C699" s="1"/>
    </row>
    <row r="700" spans="1:3">
      <c r="A700" s="1"/>
      <c r="B700" s="1"/>
      <c r="C700" s="1"/>
    </row>
    <row r="701" spans="1:3">
      <c r="A701" s="1"/>
      <c r="B701" s="1"/>
      <c r="C701" s="1"/>
    </row>
    <row r="702" spans="1:3">
      <c r="A702" s="1"/>
      <c r="B702" s="1"/>
      <c r="C702" s="1"/>
    </row>
    <row r="703" spans="1:3">
      <c r="A703" s="1"/>
      <c r="B703" s="1"/>
      <c r="C703" s="1"/>
    </row>
    <row r="704" spans="1:3">
      <c r="A704" s="1"/>
      <c r="B704" s="1"/>
      <c r="C704" s="1"/>
    </row>
    <row r="705" spans="1:3">
      <c r="A705" s="1"/>
      <c r="B705" s="1"/>
      <c r="C705" s="1"/>
    </row>
    <row r="706" spans="1:3">
      <c r="A706" s="1"/>
      <c r="B706" s="1"/>
      <c r="C706" s="1"/>
    </row>
    <row r="707" spans="1:3">
      <c r="A707" s="1"/>
      <c r="B707" s="1"/>
      <c r="C707" s="1"/>
    </row>
    <row r="708" spans="1:3">
      <c r="A708" s="1"/>
      <c r="B708" s="1"/>
      <c r="C708" s="1"/>
    </row>
    <row r="709" spans="1:3">
      <c r="A709" s="1"/>
      <c r="B709" s="1"/>
      <c r="C709" s="1"/>
    </row>
    <row r="710" spans="1:3">
      <c r="A710" s="1"/>
      <c r="B710" s="1"/>
      <c r="C710" s="1"/>
    </row>
    <row r="711" spans="1:3">
      <c r="A711" s="1"/>
      <c r="B711" s="1"/>
      <c r="C711" s="1"/>
    </row>
    <row r="712" spans="1:3">
      <c r="A712" s="1"/>
      <c r="B712" s="1"/>
      <c r="C712" s="1"/>
    </row>
    <row r="713" spans="1:3">
      <c r="A713" s="1"/>
      <c r="B713" s="1"/>
      <c r="C713" s="1"/>
    </row>
    <row r="714" spans="1:3">
      <c r="A714" s="1"/>
      <c r="B714" s="1"/>
      <c r="C714" s="1"/>
    </row>
    <row r="715" spans="1:3">
      <c r="A715" s="1"/>
      <c r="B715" s="1"/>
      <c r="C715" s="1"/>
    </row>
    <row r="716" spans="1:3">
      <c r="A716" s="1"/>
      <c r="B716" s="1"/>
      <c r="C716" s="1"/>
    </row>
    <row r="717" spans="1:3">
      <c r="A717" s="1"/>
      <c r="B717" s="1"/>
      <c r="C717" s="1"/>
    </row>
    <row r="718" spans="1:3">
      <c r="A718" s="1"/>
      <c r="B718" s="1"/>
      <c r="C718" s="1"/>
    </row>
    <row r="719" spans="1:3">
      <c r="A719" s="1"/>
      <c r="B719" s="1"/>
      <c r="C719" s="1"/>
    </row>
    <row r="720" spans="1:3">
      <c r="A720" s="1"/>
      <c r="B720" s="1"/>
      <c r="C720" s="1"/>
    </row>
    <row r="721" spans="1:3">
      <c r="A721" s="1"/>
      <c r="B721" s="1"/>
      <c r="C721" s="1"/>
    </row>
    <row r="722" spans="1:3">
      <c r="A722" s="1"/>
      <c r="B722" s="1"/>
      <c r="C722" s="1"/>
    </row>
    <row r="723" spans="1:3">
      <c r="A723" s="1"/>
      <c r="B723" s="1"/>
      <c r="C723" s="1"/>
    </row>
    <row r="724" spans="1:3">
      <c r="A724" s="1"/>
      <c r="B724" s="1"/>
      <c r="C724" s="1"/>
    </row>
    <row r="725" spans="1:3">
      <c r="A725" s="1"/>
      <c r="B725" s="1"/>
      <c r="C725" s="1"/>
    </row>
    <row r="726" spans="1:3">
      <c r="A726" s="1"/>
      <c r="B726" s="1"/>
      <c r="C726" s="1"/>
    </row>
    <row r="727" spans="1:3">
      <c r="A727" s="1"/>
      <c r="B727" s="1"/>
      <c r="C727" s="1"/>
    </row>
    <row r="728" spans="1:3">
      <c r="A728" s="1"/>
      <c r="B728" s="1"/>
      <c r="C728" s="1"/>
    </row>
    <row r="729" spans="1:3">
      <c r="A729" s="1"/>
      <c r="B729" s="1"/>
      <c r="C729" s="1"/>
    </row>
    <row r="730" spans="1:3">
      <c r="A730" s="1"/>
      <c r="B730" s="1"/>
      <c r="C730" s="1"/>
    </row>
    <row r="731" spans="1:3">
      <c r="A731" s="1"/>
      <c r="B731" s="1"/>
      <c r="C731" s="1"/>
    </row>
    <row r="732" spans="1:3">
      <c r="A732" s="1"/>
      <c r="B732" s="1"/>
      <c r="C732" s="1"/>
    </row>
    <row r="733" spans="1:3">
      <c r="A733" s="1"/>
      <c r="B733" s="1"/>
      <c r="C733" s="1"/>
    </row>
    <row r="734" spans="1:3">
      <c r="A734" s="1"/>
      <c r="B734" s="1"/>
      <c r="C734" s="1"/>
    </row>
    <row r="735" spans="1:3">
      <c r="A735" s="1"/>
      <c r="B735" s="1"/>
      <c r="C735" s="1"/>
    </row>
    <row r="736" spans="1:3">
      <c r="A736" s="1"/>
      <c r="B736" s="1"/>
      <c r="C736" s="1"/>
    </row>
    <row r="737" spans="1:3">
      <c r="A737" s="1"/>
      <c r="B737" s="1"/>
      <c r="C737" s="1"/>
    </row>
    <row r="738" spans="1:3">
      <c r="A738" s="1"/>
      <c r="B738" s="1"/>
      <c r="C738" s="1"/>
    </row>
    <row r="739" spans="1:3">
      <c r="A739" s="1"/>
      <c r="B739" s="1"/>
      <c r="C739" s="1"/>
    </row>
    <row r="740" spans="1:3">
      <c r="A740" s="1"/>
      <c r="B740" s="1"/>
      <c r="C740" s="1"/>
    </row>
    <row r="741" spans="1:3">
      <c r="A741" s="1"/>
      <c r="B741" s="1"/>
      <c r="C741" s="1"/>
    </row>
    <row r="742" spans="1:3">
      <c r="A742" s="1"/>
      <c r="B742" s="1"/>
      <c r="C742" s="1"/>
    </row>
    <row r="743" spans="1:3">
      <c r="A743" s="1"/>
      <c r="B743" s="1"/>
      <c r="C743" s="1"/>
    </row>
    <row r="744" spans="1:3">
      <c r="A744" s="1"/>
      <c r="B744" s="1"/>
      <c r="C744" s="1"/>
    </row>
    <row r="745" spans="1:3">
      <c r="A745" s="1"/>
      <c r="B745" s="1"/>
      <c r="C745" s="1"/>
    </row>
    <row r="746" spans="1:3">
      <c r="A746" s="1"/>
      <c r="B746" s="1"/>
      <c r="C746" s="1"/>
    </row>
    <row r="747" spans="1:3">
      <c r="A747" s="1"/>
      <c r="B747" s="1"/>
      <c r="C747" s="1"/>
    </row>
    <row r="748" spans="1:3">
      <c r="A748" s="1"/>
      <c r="B748" s="1"/>
      <c r="C748" s="1"/>
    </row>
    <row r="749" spans="1:3">
      <c r="A749" s="1"/>
      <c r="B749" s="1"/>
      <c r="C749" s="1"/>
    </row>
    <row r="750" spans="1:3">
      <c r="A750" s="1"/>
      <c r="B750" s="1"/>
      <c r="C750" s="1"/>
    </row>
    <row r="751" spans="1:3">
      <c r="A751" s="1"/>
      <c r="B751" s="1"/>
      <c r="C751" s="1"/>
    </row>
    <row r="752" spans="1:3">
      <c r="A752" s="1"/>
      <c r="B752" s="1"/>
      <c r="C752" s="1"/>
    </row>
    <row r="753" spans="1:3">
      <c r="A753" s="1"/>
      <c r="B753" s="1"/>
      <c r="C753" s="1"/>
    </row>
    <row r="754" spans="1:3">
      <c r="A754" s="1"/>
      <c r="B754" s="1"/>
      <c r="C754" s="1"/>
    </row>
    <row r="755" spans="1:3">
      <c r="A755" s="1"/>
      <c r="B755" s="1"/>
      <c r="C755" s="1"/>
    </row>
    <row r="756" spans="1:3">
      <c r="A756" s="1"/>
      <c r="B756" s="1"/>
      <c r="C756" s="1"/>
    </row>
    <row r="757" spans="1:3">
      <c r="A757" s="1"/>
      <c r="B757" s="1"/>
      <c r="C757" s="1"/>
    </row>
    <row r="758" spans="1:3">
      <c r="A758" s="1"/>
      <c r="B758" s="1"/>
      <c r="C758" s="1"/>
    </row>
    <row r="759" spans="1:3">
      <c r="A759" s="1"/>
      <c r="B759" s="1"/>
      <c r="C759" s="1"/>
    </row>
    <row r="760" spans="1:3">
      <c r="A760" s="1"/>
      <c r="B760" s="1"/>
      <c r="C760" s="1"/>
    </row>
    <row r="761" spans="1:3">
      <c r="A761" s="1"/>
      <c r="B761" s="1"/>
      <c r="C761" s="1"/>
    </row>
    <row r="762" spans="1:3">
      <c r="A762" s="1"/>
      <c r="B762" s="1"/>
      <c r="C762" s="1"/>
    </row>
    <row r="763" spans="1:3">
      <c r="A763" s="1"/>
      <c r="B763" s="1"/>
      <c r="C763" s="1"/>
    </row>
    <row r="764" spans="1:3">
      <c r="A764" s="1"/>
      <c r="B764" s="1"/>
      <c r="C764" s="1"/>
    </row>
    <row r="765" spans="1:3">
      <c r="A765" s="1"/>
      <c r="B765" s="1"/>
      <c r="C765" s="1"/>
    </row>
    <row r="766" spans="1:3">
      <c r="A766" s="1"/>
      <c r="B766" s="1"/>
      <c r="C766" s="1"/>
    </row>
    <row r="767" spans="1:3">
      <c r="A767" s="1"/>
      <c r="B767" s="1"/>
      <c r="C767" s="1"/>
    </row>
    <row r="768" spans="1:3">
      <c r="A768" s="1"/>
      <c r="B768" s="1"/>
      <c r="C768" s="1"/>
    </row>
    <row r="769" spans="1:3">
      <c r="A769" s="1"/>
      <c r="B769" s="1"/>
      <c r="C769" s="1"/>
    </row>
    <row r="770" spans="1:3">
      <c r="A770" s="1"/>
      <c r="B770" s="1"/>
      <c r="C770" s="1"/>
    </row>
    <row r="771" spans="1:3">
      <c r="A771" s="1"/>
      <c r="B771" s="1"/>
      <c r="C771" s="1"/>
    </row>
    <row r="772" spans="1:3">
      <c r="A772" s="1"/>
      <c r="B772" s="1"/>
      <c r="C772" s="1"/>
    </row>
    <row r="773" spans="1:3">
      <c r="A773" s="1"/>
      <c r="B773" s="1"/>
      <c r="C773" s="1"/>
    </row>
    <row r="774" spans="1:3">
      <c r="A774" s="1"/>
      <c r="B774" s="1"/>
      <c r="C774" s="1"/>
    </row>
    <row r="775" spans="1:3">
      <c r="A775" s="1"/>
      <c r="B775" s="1"/>
      <c r="C775" s="1"/>
    </row>
    <row r="776" spans="1:3">
      <c r="A776" s="1"/>
      <c r="B776" s="1"/>
      <c r="C776" s="1"/>
    </row>
    <row r="777" spans="1:3">
      <c r="A777" s="1"/>
      <c r="B777" s="1"/>
      <c r="C777" s="1"/>
    </row>
    <row r="778" spans="1:3">
      <c r="A778" s="1"/>
      <c r="B778" s="1"/>
      <c r="C778" s="1"/>
    </row>
    <row r="779" spans="1:3">
      <c r="A779" s="1"/>
      <c r="B779" s="1"/>
      <c r="C779" s="1"/>
    </row>
    <row r="780" spans="1:3">
      <c r="A780" s="1"/>
      <c r="B780" s="1"/>
      <c r="C780" s="1"/>
    </row>
    <row r="781" spans="1:3">
      <c r="A781" s="1"/>
      <c r="B781" s="1"/>
      <c r="C781" s="1"/>
    </row>
    <row r="782" spans="1:3">
      <c r="A782" s="1"/>
      <c r="B782" s="1"/>
      <c r="C782" s="1"/>
    </row>
    <row r="783" spans="1:3">
      <c r="A783" s="1"/>
      <c r="B783" s="1"/>
      <c r="C783" s="1"/>
    </row>
    <row r="784" spans="1:3">
      <c r="A784" s="1"/>
      <c r="B784" s="1"/>
      <c r="C784" s="1"/>
    </row>
    <row r="785" spans="1:3">
      <c r="A785" s="1"/>
      <c r="B785" s="1"/>
      <c r="C785" s="1"/>
    </row>
    <row r="786" spans="1:3">
      <c r="A786" s="1"/>
      <c r="B786" s="1"/>
      <c r="C786" s="1"/>
    </row>
    <row r="787" spans="1:3">
      <c r="A787" s="1"/>
      <c r="B787" s="1"/>
      <c r="C787" s="1"/>
    </row>
    <row r="788" spans="1:3">
      <c r="A788" s="1"/>
      <c r="B788" s="1"/>
      <c r="C788" s="1"/>
    </row>
    <row r="789" spans="1:3">
      <c r="A789" s="1"/>
      <c r="B789" s="1"/>
      <c r="C789" s="1"/>
    </row>
    <row r="790" spans="1:3">
      <c r="A790" s="1"/>
      <c r="B790" s="1"/>
      <c r="C790" s="1"/>
    </row>
    <row r="791" spans="1:3">
      <c r="A791" s="1"/>
      <c r="B791" s="1"/>
      <c r="C791" s="1"/>
    </row>
    <row r="792" spans="1:3">
      <c r="A792" s="1"/>
      <c r="B792" s="1"/>
      <c r="C792" s="1"/>
    </row>
    <row r="793" spans="1:3">
      <c r="A793" s="1"/>
      <c r="B793" s="1"/>
      <c r="C793" s="1"/>
    </row>
    <row r="794" spans="1:3">
      <c r="A794" s="1"/>
      <c r="B794" s="1"/>
      <c r="C794" s="1"/>
    </row>
    <row r="795" spans="1:3">
      <c r="A795" s="1"/>
      <c r="B795" s="1"/>
      <c r="C795" s="1"/>
    </row>
    <row r="796" spans="1:3">
      <c r="A796" s="1"/>
      <c r="B796" s="1"/>
      <c r="C796" s="1"/>
    </row>
    <row r="797" spans="1:3">
      <c r="A797" s="1"/>
      <c r="B797" s="1"/>
      <c r="C797" s="1"/>
    </row>
    <row r="798" spans="1:3">
      <c r="A798" s="1"/>
      <c r="B798" s="1"/>
      <c r="C798" s="1"/>
    </row>
    <row r="799" spans="1:3">
      <c r="A799" s="1"/>
      <c r="B799" s="1"/>
      <c r="C799" s="1"/>
    </row>
    <row r="800" spans="1:3">
      <c r="A800" s="1"/>
      <c r="B800" s="1"/>
      <c r="C800" s="1"/>
    </row>
    <row r="801" spans="1:3">
      <c r="A801" s="1"/>
      <c r="B801" s="1"/>
      <c r="C801" s="1"/>
    </row>
    <row r="802" spans="1:3">
      <c r="A802" s="1"/>
      <c r="B802" s="1"/>
      <c r="C802" s="1"/>
    </row>
    <row r="803" spans="1:3">
      <c r="A803" s="1"/>
      <c r="B803" s="1"/>
      <c r="C803" s="1"/>
    </row>
    <row r="804" spans="1:3">
      <c r="A804" s="1"/>
      <c r="B804" s="1"/>
      <c r="C804" s="1"/>
    </row>
    <row r="805" spans="1:3">
      <c r="A805" s="1"/>
      <c r="B805" s="1"/>
      <c r="C805" s="1"/>
    </row>
    <row r="806" spans="1:3">
      <c r="A806" s="1"/>
      <c r="B806" s="1"/>
      <c r="C806" s="1"/>
    </row>
    <row r="807" spans="1:3">
      <c r="A807" s="1"/>
      <c r="B807" s="1"/>
      <c r="C807" s="1"/>
    </row>
    <row r="808" spans="1:3">
      <c r="A808" s="1"/>
      <c r="B808" s="1"/>
      <c r="C808" s="1"/>
    </row>
    <row r="809" spans="1:3">
      <c r="A809" s="1"/>
      <c r="B809" s="1"/>
      <c r="C809" s="1"/>
    </row>
    <row r="810" spans="1:3">
      <c r="A810" s="1"/>
      <c r="B810" s="1"/>
      <c r="C810" s="1"/>
    </row>
    <row r="811" spans="1:3">
      <c r="A811" s="1"/>
      <c r="B811" s="1"/>
      <c r="C811" s="1"/>
    </row>
    <row r="812" spans="1:3">
      <c r="A812" s="1"/>
      <c r="B812" s="1"/>
      <c r="C812" s="1"/>
    </row>
    <row r="813" spans="1:3">
      <c r="A813" s="1"/>
      <c r="B813" s="1"/>
      <c r="C813" s="1"/>
    </row>
    <row r="814" spans="1:3">
      <c r="A814" s="1"/>
      <c r="B814" s="1"/>
      <c r="C814" s="1"/>
    </row>
    <row r="815" spans="1:3">
      <c r="A815" s="1"/>
      <c r="B815" s="1"/>
      <c r="C815" s="1"/>
    </row>
    <row r="816" spans="1:3">
      <c r="A816" s="1"/>
      <c r="B816" s="1"/>
      <c r="C816" s="1"/>
    </row>
    <row r="817" spans="1:3">
      <c r="A817" s="1"/>
      <c r="B817" s="1"/>
      <c r="C817" s="1"/>
    </row>
    <row r="818" spans="1:3">
      <c r="A818" s="1"/>
      <c r="B818" s="1"/>
      <c r="C818" s="1"/>
    </row>
    <row r="819" spans="1:3">
      <c r="A819" s="1"/>
      <c r="B819" s="1"/>
      <c r="C819" s="1"/>
    </row>
    <row r="820" spans="1:3">
      <c r="A820" s="1"/>
      <c r="B820" s="1"/>
      <c r="C820" s="1"/>
    </row>
    <row r="821" spans="1:3">
      <c r="A821" s="1"/>
      <c r="B821" s="1"/>
      <c r="C821" s="1"/>
    </row>
    <row r="822" spans="1:3">
      <c r="A822" s="1"/>
      <c r="B822" s="1"/>
      <c r="C822" s="1"/>
    </row>
    <row r="823" spans="1:3">
      <c r="A823" s="1"/>
      <c r="B823" s="1"/>
      <c r="C823" s="1"/>
    </row>
    <row r="824" spans="1:3">
      <c r="A824" s="1"/>
      <c r="B824" s="1"/>
      <c r="C824" s="1"/>
    </row>
    <row r="825" spans="1:3">
      <c r="A825" s="1"/>
      <c r="B825" s="1"/>
      <c r="C825" s="1"/>
    </row>
    <row r="826" spans="1:3">
      <c r="A826" s="1"/>
      <c r="B826" s="1"/>
      <c r="C826" s="1"/>
    </row>
    <row r="827" spans="1:3">
      <c r="A827" s="1"/>
      <c r="B827" s="1"/>
      <c r="C827" s="1"/>
    </row>
    <row r="828" spans="1:3">
      <c r="A828" s="1"/>
      <c r="B828" s="1"/>
      <c r="C828" s="1"/>
    </row>
    <row r="829" spans="1:3">
      <c r="A829" s="1"/>
      <c r="B829" s="1"/>
      <c r="C829" s="1"/>
    </row>
    <row r="830" spans="1:3">
      <c r="A830" s="1"/>
      <c r="B830" s="1"/>
      <c r="C830" s="1"/>
    </row>
    <row r="831" spans="1:3">
      <c r="A831" s="1"/>
      <c r="B831" s="1"/>
      <c r="C831" s="1"/>
    </row>
    <row r="832" spans="1:3">
      <c r="A832" s="1"/>
      <c r="B832" s="1"/>
      <c r="C832" s="1"/>
    </row>
    <row r="833" spans="1:3">
      <c r="A833" s="1"/>
      <c r="B833" s="1"/>
      <c r="C833" s="1"/>
    </row>
    <row r="834" spans="1:3">
      <c r="A834" s="1"/>
      <c r="B834" s="1"/>
      <c r="C834" s="1"/>
    </row>
    <row r="835" spans="1:3">
      <c r="A835" s="1"/>
      <c r="B835" s="1"/>
      <c r="C835" s="1"/>
    </row>
    <row r="836" spans="1:3">
      <c r="A836" s="1"/>
      <c r="B836" s="1"/>
      <c r="C836" s="1"/>
    </row>
    <row r="837" spans="1:3">
      <c r="A837" s="1"/>
      <c r="B837" s="1"/>
      <c r="C837" s="1"/>
    </row>
    <row r="838" spans="1:3">
      <c r="A838" s="1"/>
      <c r="B838" s="1"/>
      <c r="C838" s="1"/>
    </row>
    <row r="839" spans="1:3">
      <c r="A839" s="1"/>
      <c r="B839" s="1"/>
      <c r="C839" s="1"/>
    </row>
    <row r="840" spans="1:3">
      <c r="A840" s="1"/>
      <c r="B840" s="1"/>
      <c r="C840" s="1"/>
    </row>
    <row r="841" spans="1:3">
      <c r="A841" s="1"/>
      <c r="B841" s="1"/>
      <c r="C841" s="1"/>
    </row>
    <row r="842" spans="1:3">
      <c r="A842" s="1"/>
      <c r="B842" s="1"/>
      <c r="C842" s="1"/>
    </row>
    <row r="843" spans="1:3">
      <c r="A843" s="1"/>
      <c r="B843" s="1"/>
      <c r="C843" s="1"/>
    </row>
    <row r="844" spans="1:3">
      <c r="A844" s="1"/>
      <c r="B844" s="1"/>
      <c r="C844" s="1"/>
    </row>
    <row r="845" spans="1:3">
      <c r="A845" s="1"/>
      <c r="B845" s="1"/>
      <c r="C845" s="1"/>
    </row>
    <row r="846" spans="1:3">
      <c r="A846" s="1"/>
      <c r="B846" s="1"/>
      <c r="C846" s="1"/>
    </row>
    <row r="847" spans="1:3">
      <c r="A847" s="1"/>
      <c r="B847" s="1"/>
      <c r="C847" s="1"/>
    </row>
    <row r="848" spans="1:3">
      <c r="A848" s="1"/>
      <c r="B848" s="1"/>
      <c r="C848" s="1"/>
    </row>
    <row r="849" spans="1:3">
      <c r="A849" s="1"/>
      <c r="B849" s="1"/>
      <c r="C849" s="1"/>
    </row>
    <row r="850" spans="1:3">
      <c r="A850" s="1"/>
      <c r="B850" s="1"/>
      <c r="C850" s="1"/>
    </row>
    <row r="851" spans="1:3">
      <c r="A851" s="1"/>
      <c r="B851" s="1"/>
      <c r="C851" s="1"/>
    </row>
    <row r="852" spans="1:3">
      <c r="A852" s="1"/>
      <c r="B852" s="1"/>
      <c r="C852" s="1"/>
    </row>
    <row r="853" spans="1:3">
      <c r="A853" s="1"/>
      <c r="B853" s="1"/>
      <c r="C853" s="1"/>
    </row>
    <row r="854" spans="1:3">
      <c r="A854" s="1"/>
      <c r="B854" s="1"/>
      <c r="C854" s="1"/>
    </row>
    <row r="855" spans="1:3">
      <c r="A855" s="1"/>
      <c r="B855" s="1"/>
      <c r="C855" s="1"/>
    </row>
    <row r="856" spans="1:3">
      <c r="A856" s="1"/>
      <c r="B856" s="1"/>
      <c r="C856" s="1"/>
    </row>
    <row r="857" spans="1:3">
      <c r="A857" s="1"/>
      <c r="B857" s="1"/>
      <c r="C857" s="1"/>
    </row>
    <row r="858" spans="1:3">
      <c r="A858" s="1"/>
      <c r="B858" s="1"/>
      <c r="C858" s="1"/>
    </row>
    <row r="859" spans="1:3">
      <c r="A859" s="1"/>
      <c r="B859" s="1"/>
      <c r="C859" s="1"/>
    </row>
    <row r="860" spans="1:3">
      <c r="A860" s="1"/>
      <c r="B860" s="1"/>
      <c r="C860" s="1"/>
    </row>
    <row r="861" spans="1:3">
      <c r="A861" s="1"/>
      <c r="B861" s="1"/>
      <c r="C861" s="1"/>
    </row>
    <row r="862" spans="1:3">
      <c r="A862" s="1"/>
      <c r="B862" s="1"/>
      <c r="C862" s="1"/>
    </row>
    <row r="863" spans="1:3">
      <c r="A863" s="1"/>
      <c r="B863" s="1"/>
      <c r="C863" s="1"/>
    </row>
    <row r="864" spans="1:3">
      <c r="A864" s="1"/>
      <c r="B864" s="1"/>
      <c r="C864" s="1"/>
    </row>
    <row r="865" spans="1:3">
      <c r="A865" s="1"/>
      <c r="B865" s="1"/>
      <c r="C865" s="1"/>
    </row>
    <row r="866" spans="1:3">
      <c r="A866" s="1"/>
      <c r="B866" s="1"/>
      <c r="C866" s="1"/>
    </row>
    <row r="867" spans="1:3">
      <c r="A867" s="1"/>
      <c r="B867" s="1"/>
      <c r="C867" s="1"/>
    </row>
    <row r="868" spans="1:3">
      <c r="A868" s="1"/>
      <c r="B868" s="1"/>
      <c r="C868" s="1"/>
    </row>
    <row r="869" spans="1:3">
      <c r="A869" s="1"/>
      <c r="B869" s="1"/>
      <c r="C869" s="1"/>
    </row>
    <row r="870" spans="1:3">
      <c r="A870" s="1"/>
      <c r="B870" s="1"/>
      <c r="C870" s="1"/>
    </row>
    <row r="871" spans="1:3">
      <c r="A871" s="1"/>
      <c r="B871" s="1"/>
      <c r="C871" s="1"/>
    </row>
    <row r="872" spans="1:3">
      <c r="A872" s="1"/>
      <c r="B872" s="1"/>
      <c r="C872" s="1"/>
    </row>
    <row r="873" spans="1:3">
      <c r="A873" s="1"/>
      <c r="B873" s="1"/>
      <c r="C873" s="1"/>
    </row>
    <row r="874" spans="1:3">
      <c r="A874" s="1"/>
      <c r="B874" s="1"/>
      <c r="C874" s="1"/>
    </row>
    <row r="875" spans="1:3">
      <c r="A875" s="1"/>
      <c r="B875" s="1"/>
      <c r="C875" s="1"/>
    </row>
    <row r="876" spans="1:3">
      <c r="A876" s="1"/>
      <c r="B876" s="1"/>
      <c r="C876" s="1"/>
    </row>
    <row r="877" spans="1:3">
      <c r="A877" s="1"/>
      <c r="B877" s="1"/>
      <c r="C877" s="1"/>
    </row>
    <row r="878" spans="1:3">
      <c r="A878" s="1"/>
      <c r="B878" s="1"/>
      <c r="C878" s="1"/>
    </row>
    <row r="879" spans="1:3">
      <c r="A879" s="1"/>
      <c r="B879" s="1"/>
      <c r="C879" s="1"/>
    </row>
    <row r="880" spans="1:3">
      <c r="A880" s="1"/>
      <c r="B880" s="1"/>
      <c r="C880" s="1"/>
    </row>
    <row r="881" spans="1:3">
      <c r="A881" s="1"/>
      <c r="B881" s="1"/>
      <c r="C881" s="1"/>
    </row>
    <row r="882" spans="1:3">
      <c r="A882" s="1"/>
      <c r="B882" s="1"/>
      <c r="C882" s="1"/>
    </row>
    <row r="883" spans="1:3">
      <c r="A883" s="1"/>
      <c r="B883" s="1"/>
      <c r="C883" s="1"/>
    </row>
    <row r="884" spans="1:3">
      <c r="A884" s="1"/>
      <c r="B884" s="1"/>
      <c r="C884" s="1"/>
    </row>
    <row r="885" spans="1:3">
      <c r="A885" s="1"/>
      <c r="B885" s="1"/>
      <c r="C885" s="1"/>
    </row>
    <row r="886" spans="1:3">
      <c r="A886" s="1"/>
      <c r="B886" s="1"/>
      <c r="C886" s="1"/>
    </row>
    <row r="887" spans="1:3">
      <c r="A887" s="1"/>
      <c r="B887" s="1"/>
      <c r="C887" s="1"/>
    </row>
    <row r="888" spans="1:3">
      <c r="A888" s="1"/>
      <c r="B888" s="1"/>
      <c r="C888" s="1"/>
    </row>
    <row r="889" spans="1:3">
      <c r="A889" s="1"/>
      <c r="B889" s="1"/>
      <c r="C889" s="1"/>
    </row>
    <row r="890" spans="1:3">
      <c r="A890" s="1"/>
      <c r="B890" s="1"/>
      <c r="C890" s="1"/>
    </row>
    <row r="891" spans="1:3">
      <c r="A891" s="1"/>
      <c r="B891" s="1"/>
      <c r="C891" s="1"/>
    </row>
    <row r="892" spans="1:3">
      <c r="A892" s="1"/>
      <c r="B892" s="1"/>
      <c r="C892" s="1"/>
    </row>
    <row r="893" spans="1:3">
      <c r="A893" s="1"/>
      <c r="B893" s="1"/>
      <c r="C893" s="1"/>
    </row>
    <row r="894" spans="1:3">
      <c r="A894" s="1"/>
      <c r="B894" s="1"/>
      <c r="C894" s="1"/>
    </row>
    <row r="895" spans="1:3">
      <c r="A895" s="1"/>
      <c r="B895" s="1"/>
      <c r="C895" s="1"/>
    </row>
    <row r="896" spans="1:3">
      <c r="A896" s="1"/>
      <c r="B896" s="1"/>
      <c r="C896" s="1"/>
    </row>
    <row r="897" spans="1:3">
      <c r="A897" s="1"/>
      <c r="B897" s="1"/>
      <c r="C897" s="1"/>
    </row>
    <row r="898" spans="1:3">
      <c r="A898" s="1"/>
      <c r="B898" s="1"/>
      <c r="C898" s="1"/>
    </row>
    <row r="899" spans="1:3">
      <c r="A899" s="1"/>
      <c r="B899" s="1"/>
      <c r="C899" s="1"/>
    </row>
    <row r="900" spans="1:3">
      <c r="A900" s="1"/>
      <c r="B900" s="1"/>
      <c r="C900" s="1"/>
    </row>
    <row r="901" spans="1:3">
      <c r="A901" s="1"/>
      <c r="B901" s="1"/>
      <c r="C901" s="1"/>
    </row>
    <row r="902" spans="1:3">
      <c r="A902" s="1"/>
      <c r="B902" s="1"/>
      <c r="C902" s="1"/>
    </row>
    <row r="903" spans="1:3">
      <c r="A903" s="1"/>
      <c r="B903" s="1"/>
      <c r="C903" s="1"/>
    </row>
    <row r="904" spans="1:3">
      <c r="A904" s="1"/>
      <c r="B904" s="1"/>
      <c r="C904" s="1"/>
    </row>
    <row r="905" spans="1:3">
      <c r="A905" s="1"/>
      <c r="B905" s="1"/>
      <c r="C905" s="1"/>
    </row>
    <row r="906" spans="1:3">
      <c r="A906" s="1"/>
      <c r="B906" s="1"/>
      <c r="C906" s="1"/>
    </row>
    <row r="907" spans="1:3">
      <c r="A907" s="1"/>
      <c r="B907" s="1"/>
      <c r="C907" s="1"/>
    </row>
    <row r="908" spans="1:3">
      <c r="A908" s="1"/>
      <c r="B908" s="1"/>
      <c r="C908" s="1"/>
    </row>
    <row r="909" spans="1:3">
      <c r="A909" s="1"/>
      <c r="B909" s="1"/>
      <c r="C909" s="1"/>
    </row>
    <row r="910" spans="1:3">
      <c r="A910" s="1"/>
      <c r="B910" s="1"/>
      <c r="C910" s="1"/>
    </row>
    <row r="911" spans="1:3">
      <c r="A911" s="1"/>
      <c r="B911" s="1"/>
      <c r="C911" s="1"/>
    </row>
    <row r="912" spans="1:3">
      <c r="A912" s="1"/>
      <c r="B912" s="1"/>
      <c r="C912" s="1"/>
    </row>
    <row r="913" spans="1:3">
      <c r="A913" s="1"/>
      <c r="B913" s="1"/>
      <c r="C913" s="1"/>
    </row>
    <row r="914" spans="1:3">
      <c r="A914" s="1"/>
      <c r="B914" s="1"/>
      <c r="C914" s="1"/>
    </row>
    <row r="915" spans="1:3">
      <c r="A915" s="1"/>
      <c r="B915" s="1"/>
      <c r="C915" s="1"/>
    </row>
    <row r="916" spans="1:3">
      <c r="A916" s="1"/>
      <c r="B916" s="1"/>
      <c r="C916" s="1"/>
    </row>
    <row r="917" spans="1:3">
      <c r="A917" s="1"/>
      <c r="B917" s="1"/>
      <c r="C917" s="1"/>
    </row>
    <row r="918" spans="1:3">
      <c r="A918" s="1"/>
      <c r="B918" s="1"/>
      <c r="C918" s="1"/>
    </row>
    <row r="919" spans="1:3">
      <c r="A919" s="1"/>
      <c r="B919" s="1"/>
      <c r="C919" s="1"/>
    </row>
    <row r="920" spans="1:3">
      <c r="A920" s="1"/>
      <c r="B920" s="1"/>
      <c r="C920" s="1"/>
    </row>
    <row r="921" spans="1:3">
      <c r="A921" s="1"/>
      <c r="B921" s="1"/>
      <c r="C921" s="1"/>
    </row>
    <row r="922" spans="1:3">
      <c r="A922" s="1"/>
      <c r="B922" s="1"/>
      <c r="C922" s="1"/>
    </row>
    <row r="923" spans="1:3">
      <c r="A923" s="1"/>
      <c r="B923" s="1"/>
      <c r="C923" s="1"/>
    </row>
    <row r="924" spans="1:3">
      <c r="A924" s="1"/>
      <c r="B924" s="1"/>
      <c r="C924" s="1"/>
    </row>
    <row r="925" spans="1:3">
      <c r="A925" s="1"/>
      <c r="B925" s="1"/>
      <c r="C925" s="1"/>
    </row>
    <row r="926" spans="1:3">
      <c r="A926" s="1"/>
      <c r="B926" s="1"/>
      <c r="C926" s="1"/>
    </row>
    <row r="927" spans="1:3">
      <c r="A927" s="1"/>
      <c r="B927" s="1"/>
      <c r="C927" s="1"/>
    </row>
    <row r="928" spans="1:3">
      <c r="A928" s="1"/>
      <c r="B928" s="1"/>
      <c r="C928" s="1"/>
    </row>
    <row r="929" spans="1:3">
      <c r="A929" s="1"/>
      <c r="B929" s="1"/>
      <c r="C929" s="1"/>
    </row>
    <row r="930" spans="1:3">
      <c r="A930" s="1"/>
      <c r="B930" s="1"/>
      <c r="C930" s="1"/>
    </row>
    <row r="931" spans="1:3">
      <c r="A931" s="1"/>
      <c r="B931" s="1"/>
      <c r="C931" s="1"/>
    </row>
    <row r="932" spans="1:3">
      <c r="A932" s="1"/>
      <c r="B932" s="1"/>
      <c r="C932" s="1"/>
    </row>
    <row r="933" spans="1:3">
      <c r="A933" s="1"/>
      <c r="B933" s="1"/>
      <c r="C933" s="1"/>
    </row>
    <row r="934" spans="1:3">
      <c r="A934" s="1"/>
      <c r="B934" s="1"/>
      <c r="C934" s="1"/>
    </row>
    <row r="935" spans="1:3">
      <c r="A935" s="1"/>
      <c r="B935" s="1"/>
      <c r="C935" s="1"/>
    </row>
    <row r="936" spans="1:3">
      <c r="A936" s="1"/>
      <c r="B936" s="1"/>
      <c r="C936" s="1"/>
    </row>
    <row r="937" spans="1:3">
      <c r="A937" s="1"/>
      <c r="B937" s="1"/>
      <c r="C937" s="1"/>
    </row>
    <row r="938" spans="1:3">
      <c r="A938" s="1"/>
      <c r="B938" s="1"/>
      <c r="C938" s="1"/>
    </row>
    <row r="939" spans="1:3">
      <c r="A939" s="1"/>
      <c r="B939" s="1"/>
      <c r="C939" s="1"/>
    </row>
    <row r="940" spans="1:3">
      <c r="A940" s="1"/>
      <c r="B940" s="1"/>
      <c r="C940" s="1"/>
    </row>
    <row r="941" spans="1:3">
      <c r="A941" s="1"/>
      <c r="B941" s="1"/>
      <c r="C941" s="1"/>
    </row>
    <row r="942" spans="1:3">
      <c r="A942" s="1"/>
      <c r="B942" s="1"/>
      <c r="C942" s="1"/>
    </row>
    <row r="943" spans="1:3">
      <c r="A943" s="1"/>
      <c r="B943" s="1"/>
      <c r="C943" s="1"/>
    </row>
    <row r="944" spans="1:3">
      <c r="A944" s="1"/>
      <c r="B944" s="1"/>
      <c r="C944" s="1"/>
    </row>
    <row r="945" spans="1:3">
      <c r="A945" s="1"/>
      <c r="B945" s="1"/>
      <c r="C945" s="1"/>
    </row>
    <row r="946" spans="1:3">
      <c r="A946" s="1"/>
      <c r="B946" s="1"/>
      <c r="C946" s="1"/>
    </row>
    <row r="947" spans="1:3">
      <c r="A947" s="1"/>
      <c r="B947" s="1"/>
      <c r="C947" s="1"/>
    </row>
    <row r="948" spans="1:3">
      <c r="A948" s="1"/>
      <c r="B948" s="1"/>
      <c r="C948" s="1"/>
    </row>
    <row r="949" spans="1:3">
      <c r="A949" s="1"/>
      <c r="B949" s="1"/>
      <c r="C949" s="1"/>
    </row>
    <row r="950" spans="1:3">
      <c r="A950" s="1"/>
      <c r="B950" s="1"/>
      <c r="C950" s="1"/>
    </row>
    <row r="951" spans="1:3">
      <c r="A951" s="1"/>
      <c r="B951" s="1"/>
      <c r="C951" s="1"/>
    </row>
    <row r="952" spans="1:3">
      <c r="A952" s="1"/>
      <c r="B952" s="1"/>
      <c r="C952" s="1"/>
    </row>
    <row r="953" spans="1:3">
      <c r="A953" s="1"/>
      <c r="B953" s="1"/>
      <c r="C953" s="1"/>
    </row>
    <row r="954" spans="1:3">
      <c r="A954" s="1"/>
      <c r="B954" s="1"/>
      <c r="C954" s="1"/>
    </row>
    <row r="955" spans="1:3">
      <c r="A955" s="1"/>
      <c r="B955" s="1"/>
      <c r="C955" s="1"/>
    </row>
    <row r="956" spans="1:3">
      <c r="A956" s="1"/>
      <c r="B956" s="1"/>
      <c r="C956" s="1"/>
    </row>
    <row r="957" spans="1:3">
      <c r="A957" s="1"/>
      <c r="B957" s="1"/>
      <c r="C957" s="1"/>
    </row>
    <row r="958" spans="1:3">
      <c r="A958" s="1"/>
      <c r="B958" s="1"/>
      <c r="C958" s="1"/>
    </row>
    <row r="959" spans="1:3">
      <c r="A959" s="1"/>
      <c r="B959" s="1"/>
      <c r="C959" s="1"/>
    </row>
    <row r="960" spans="1:3">
      <c r="A960" s="1"/>
      <c r="B960" s="1"/>
      <c r="C960" s="1"/>
    </row>
    <row r="961" spans="1:3">
      <c r="A961" s="1"/>
      <c r="B961" s="1"/>
      <c r="C961" s="1"/>
    </row>
    <row r="962" spans="1:3">
      <c r="A962" s="1"/>
      <c r="B962" s="1"/>
      <c r="C962" s="1"/>
    </row>
    <row r="963" spans="1:3">
      <c r="A963" s="1"/>
      <c r="B963" s="1"/>
      <c r="C963" s="1"/>
    </row>
    <row r="964" spans="1:3">
      <c r="A964" s="1"/>
      <c r="B964" s="1"/>
      <c r="C964" s="1"/>
    </row>
    <row r="965" spans="1:3">
      <c r="A965" s="1"/>
      <c r="B965" s="1"/>
      <c r="C965" s="1"/>
    </row>
    <row r="966" spans="1:3">
      <c r="A966" s="1"/>
      <c r="B966" s="1"/>
      <c r="C966" s="1"/>
    </row>
    <row r="967" spans="1:3">
      <c r="A967" s="1"/>
      <c r="B967" s="1"/>
      <c r="C967" s="1"/>
    </row>
    <row r="968" spans="1:3">
      <c r="A968" s="1"/>
      <c r="B968" s="1"/>
      <c r="C968" s="1"/>
    </row>
    <row r="969" spans="1:3">
      <c r="A969" s="1"/>
      <c r="B969" s="1"/>
      <c r="C969" s="1"/>
    </row>
    <row r="970" spans="1:3">
      <c r="A970" s="1"/>
      <c r="B970" s="1"/>
      <c r="C970" s="1"/>
    </row>
    <row r="971" spans="1:3">
      <c r="A971" s="1"/>
      <c r="B971" s="1"/>
      <c r="C971" s="1"/>
    </row>
    <row r="972" spans="1:3">
      <c r="A972" s="1"/>
      <c r="B972" s="1"/>
      <c r="C972" s="1"/>
    </row>
    <row r="973" spans="1:3">
      <c r="A973" s="1"/>
      <c r="B973" s="1"/>
      <c r="C973" s="1"/>
    </row>
    <row r="974" spans="1:3">
      <c r="A974" s="1"/>
      <c r="B974" s="1"/>
      <c r="C974" s="1"/>
    </row>
    <row r="975" spans="1:3">
      <c r="A975" s="1"/>
      <c r="B975" s="1"/>
      <c r="C975" s="1"/>
    </row>
    <row r="976" spans="1:3">
      <c r="A976" s="1"/>
      <c r="B976" s="1"/>
      <c r="C976" s="1"/>
    </row>
    <row r="977" spans="1:3">
      <c r="A977" s="1"/>
      <c r="B977" s="1"/>
      <c r="C977" s="1"/>
    </row>
    <row r="978" spans="1:3">
      <c r="A978" s="1"/>
      <c r="B978" s="1"/>
      <c r="C978" s="1"/>
    </row>
    <row r="979" spans="1:3">
      <c r="A979" s="1"/>
      <c r="B979" s="1"/>
      <c r="C979" s="1"/>
    </row>
    <row r="980" spans="1:3">
      <c r="A980" s="1"/>
      <c r="B980" s="1"/>
      <c r="C980" s="1"/>
    </row>
    <row r="981" spans="1:3">
      <c r="A981" s="1"/>
      <c r="B981" s="1"/>
      <c r="C981" s="1"/>
    </row>
    <row r="982" spans="1:3">
      <c r="A982" s="1"/>
      <c r="B982" s="1"/>
      <c r="C982" s="1"/>
    </row>
    <row r="983" spans="1:3">
      <c r="A983" s="1"/>
      <c r="B983" s="1"/>
      <c r="C983" s="1"/>
    </row>
    <row r="984" spans="1:3">
      <c r="A984" s="1"/>
      <c r="B984" s="1"/>
      <c r="C984" s="1"/>
    </row>
    <row r="985" spans="1:3">
      <c r="A985" s="1"/>
      <c r="B985" s="1"/>
      <c r="C985" s="1"/>
    </row>
    <row r="986" spans="1:3">
      <c r="A986" s="1"/>
      <c r="B986" s="1"/>
      <c r="C986" s="1"/>
    </row>
    <row r="987" spans="1:3">
      <c r="A987" s="1"/>
      <c r="B987" s="1"/>
      <c r="C987" s="1"/>
    </row>
    <row r="988" spans="1:3">
      <c r="A988" s="1"/>
      <c r="B988" s="1"/>
      <c r="C988" s="1"/>
    </row>
    <row r="989" spans="1:3">
      <c r="A989" s="1"/>
      <c r="B989" s="1"/>
      <c r="C989" s="1"/>
    </row>
    <row r="990" spans="1:3">
      <c r="A990" s="1"/>
      <c r="B990" s="1"/>
      <c r="C990" s="1"/>
    </row>
    <row r="991" spans="1:3">
      <c r="A991" s="1"/>
      <c r="B991" s="1"/>
      <c r="C991" s="1"/>
    </row>
    <row r="992" spans="1:3">
      <c r="A992" s="1"/>
      <c r="B992" s="1"/>
      <c r="C992" s="1"/>
    </row>
    <row r="993" spans="1:3">
      <c r="A993" s="1"/>
      <c r="B993" s="1"/>
      <c r="C993" s="1"/>
    </row>
    <row r="994" spans="1:3">
      <c r="A994" s="1"/>
      <c r="B994" s="1"/>
      <c r="C994" s="1"/>
    </row>
    <row r="995" spans="1:3">
      <c r="A995" s="1"/>
      <c r="B995" s="1"/>
      <c r="C995" s="1"/>
    </row>
    <row r="996" spans="1:3">
      <c r="A996" s="1"/>
      <c r="B996" s="1"/>
      <c r="C996" s="1"/>
    </row>
    <row r="997" spans="1:3">
      <c r="A997" s="1"/>
      <c r="B997" s="1"/>
      <c r="C997" s="1"/>
    </row>
    <row r="998" spans="1:3">
      <c r="A998" s="1"/>
      <c r="B998" s="1"/>
      <c r="C998" s="1"/>
    </row>
    <row r="999" spans="1:3">
      <c r="A999" s="1"/>
      <c r="B999" s="1"/>
      <c r="C99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Y1000"/>
  <sheetViews>
    <sheetView workbookViewId="0"/>
  </sheetViews>
  <sheetFormatPr baseColWidth="10" defaultColWidth="12.64453125" defaultRowHeight="15.75" customHeight="1"/>
  <cols>
    <col min="1" max="1" width="42.76171875" customWidth="1"/>
    <col min="2" max="2" width="39" customWidth="1"/>
    <col min="3" max="4" width="39" hidden="1" customWidth="1"/>
    <col min="5" max="7" width="17" hidden="1" customWidth="1"/>
    <col min="9" max="9" width="53.234375" customWidth="1"/>
    <col min="10" max="10" width="23.64453125" customWidth="1"/>
    <col min="11" max="11" width="32.46875" customWidth="1"/>
    <col min="12" max="12" width="51.1171875" customWidth="1"/>
    <col min="13" max="13" width="19.46875" customWidth="1"/>
    <col min="14" max="14" width="18.3515625" customWidth="1"/>
    <col min="15" max="15" width="25" customWidth="1"/>
    <col min="16" max="16" width="28.1171875" hidden="1" customWidth="1"/>
    <col min="17" max="17" width="56.3515625" customWidth="1"/>
  </cols>
  <sheetData>
    <row r="1" spans="1:25">
      <c r="A1" s="6" t="s">
        <v>140</v>
      </c>
      <c r="B1" s="20" t="s">
        <v>141</v>
      </c>
      <c r="C1" s="10" t="s">
        <v>142</v>
      </c>
      <c r="D1" s="9" t="s">
        <v>2</v>
      </c>
      <c r="E1" s="9" t="s">
        <v>0</v>
      </c>
      <c r="F1" s="9" t="s">
        <v>3</v>
      </c>
      <c r="G1" s="9" t="s">
        <v>4</v>
      </c>
      <c r="H1" s="10" t="s">
        <v>143</v>
      </c>
      <c r="I1" s="10" t="s">
        <v>144</v>
      </c>
      <c r="J1" s="10" t="s">
        <v>124</v>
      </c>
      <c r="K1" s="10" t="s">
        <v>145</v>
      </c>
      <c r="L1" s="10" t="s">
        <v>145</v>
      </c>
      <c r="M1" s="10"/>
      <c r="N1" s="10"/>
      <c r="O1" s="10"/>
      <c r="P1" s="10"/>
      <c r="Q1" s="10"/>
      <c r="R1" s="7"/>
      <c r="S1" s="7"/>
      <c r="T1" s="7"/>
      <c r="U1" s="7"/>
      <c r="V1" s="7"/>
      <c r="W1" s="7"/>
      <c r="X1" s="7"/>
      <c r="Y1" s="7"/>
    </row>
    <row r="2" spans="1:25" ht="15.75" customHeight="1">
      <c r="B2" s="4" t="s">
        <v>26</v>
      </c>
      <c r="C2" s="4">
        <v>114671</v>
      </c>
      <c r="D2" s="1">
        <v>23</v>
      </c>
      <c r="E2" s="21">
        <v>37724</v>
      </c>
      <c r="F2" s="8" t="s">
        <v>77</v>
      </c>
      <c r="G2" s="8" t="s">
        <v>75</v>
      </c>
      <c r="H2" s="8" t="s">
        <v>128</v>
      </c>
      <c r="I2" s="22">
        <v>46299</v>
      </c>
      <c r="J2" s="8" t="s">
        <v>127</v>
      </c>
      <c r="K2" s="23" t="s">
        <v>146</v>
      </c>
      <c r="L2" s="8"/>
      <c r="M2" s="8"/>
      <c r="N2" s="8"/>
      <c r="O2" s="8"/>
      <c r="P2" s="8"/>
      <c r="Q2" s="8"/>
      <c r="R2" s="7"/>
      <c r="S2" s="7"/>
      <c r="T2" s="7"/>
      <c r="U2" s="7"/>
      <c r="V2" s="7"/>
      <c r="W2" s="7"/>
      <c r="X2" s="7"/>
      <c r="Y2" s="7"/>
    </row>
    <row r="3" spans="1:25" ht="15.75" customHeight="1">
      <c r="A3" s="7" t="s">
        <v>147</v>
      </c>
      <c r="B3" s="4" t="s">
        <v>79</v>
      </c>
      <c r="C3" s="4">
        <v>79811</v>
      </c>
      <c r="D3" s="1">
        <v>18</v>
      </c>
      <c r="E3" s="22">
        <v>39429</v>
      </c>
      <c r="F3" s="8" t="s">
        <v>77</v>
      </c>
      <c r="G3" s="8" t="s">
        <v>28</v>
      </c>
      <c r="H3" s="8" t="s">
        <v>148</v>
      </c>
      <c r="I3" s="22">
        <v>46292</v>
      </c>
      <c r="J3" s="8" t="s">
        <v>127</v>
      </c>
      <c r="K3" s="23" t="s">
        <v>149</v>
      </c>
      <c r="L3" s="8"/>
      <c r="M3" s="8"/>
      <c r="N3" s="8"/>
      <c r="O3" s="8"/>
      <c r="P3" s="8"/>
      <c r="Q3" s="8"/>
      <c r="R3" s="7"/>
      <c r="S3" s="7"/>
      <c r="T3" s="7"/>
      <c r="U3" s="7"/>
      <c r="V3" s="7"/>
      <c r="W3" s="7"/>
      <c r="X3" s="7"/>
      <c r="Y3" s="7"/>
    </row>
    <row r="4" spans="1:25" ht="15.75" customHeight="1">
      <c r="A4" s="24" t="s">
        <v>150</v>
      </c>
      <c r="B4" s="4" t="s">
        <v>39</v>
      </c>
      <c r="C4" s="4">
        <v>63475</v>
      </c>
      <c r="D4" s="1">
        <v>18</v>
      </c>
      <c r="E4" s="22">
        <v>39427</v>
      </c>
      <c r="F4" s="8" t="s">
        <v>21</v>
      </c>
      <c r="G4" s="8" t="s">
        <v>17</v>
      </c>
      <c r="H4" s="8"/>
      <c r="I4" s="8"/>
      <c r="J4" s="22"/>
      <c r="K4" s="8"/>
      <c r="L4" s="8"/>
      <c r="M4" s="8"/>
      <c r="N4" s="8"/>
      <c r="O4" s="8"/>
      <c r="P4" s="8"/>
      <c r="Q4" s="8"/>
      <c r="R4" s="7"/>
      <c r="S4" s="7"/>
      <c r="T4" s="7"/>
      <c r="U4" s="7"/>
      <c r="V4" s="7"/>
      <c r="W4" s="7"/>
      <c r="X4" s="7"/>
      <c r="Y4" s="7"/>
    </row>
    <row r="5" spans="1:25" ht="15.75" customHeight="1">
      <c r="A5" s="7"/>
      <c r="B5" s="4" t="s">
        <v>66</v>
      </c>
      <c r="C5" s="4">
        <v>55766</v>
      </c>
      <c r="D5" s="1">
        <v>41</v>
      </c>
      <c r="E5" s="22">
        <v>31017</v>
      </c>
      <c r="F5" s="8" t="s">
        <v>21</v>
      </c>
      <c r="G5" s="8" t="s">
        <v>111</v>
      </c>
      <c r="H5" s="8"/>
      <c r="I5" s="8"/>
      <c r="J5" s="22"/>
      <c r="K5" s="8"/>
      <c r="L5" s="8"/>
      <c r="M5" s="8"/>
      <c r="N5" s="8"/>
      <c r="O5" s="8"/>
      <c r="P5" s="8"/>
      <c r="Q5" s="8"/>
      <c r="R5" s="7"/>
      <c r="S5" s="7"/>
      <c r="T5" s="7"/>
      <c r="U5" s="7"/>
      <c r="V5" s="7"/>
      <c r="W5" s="7"/>
      <c r="X5" s="7"/>
      <c r="Y5" s="7"/>
    </row>
    <row r="6" spans="1:25" ht="15.75" customHeight="1">
      <c r="A6" s="2" t="s">
        <v>129</v>
      </c>
      <c r="B6" s="4" t="s">
        <v>51</v>
      </c>
      <c r="C6" s="4">
        <v>60818</v>
      </c>
      <c r="D6" s="1">
        <v>26</v>
      </c>
      <c r="E6" s="25">
        <v>36677</v>
      </c>
      <c r="F6" s="8" t="s">
        <v>21</v>
      </c>
      <c r="G6" s="8" t="s">
        <v>14</v>
      </c>
      <c r="H6" s="8"/>
      <c r="I6" s="8"/>
      <c r="J6" s="22"/>
      <c r="K6" s="8"/>
      <c r="L6" s="8"/>
      <c r="M6" s="8"/>
      <c r="N6" s="8"/>
      <c r="O6" s="8"/>
      <c r="P6" s="8"/>
      <c r="Q6" s="8"/>
      <c r="R6" s="7"/>
      <c r="S6" s="7"/>
      <c r="T6" s="7"/>
      <c r="U6" s="7"/>
      <c r="V6" s="7"/>
      <c r="W6" s="7"/>
      <c r="X6" s="7"/>
      <c r="Y6" s="7"/>
    </row>
    <row r="7" spans="1:25" ht="15.75" customHeight="1">
      <c r="A7" s="26" t="s">
        <v>134</v>
      </c>
      <c r="B7" s="4" t="s">
        <v>61</v>
      </c>
      <c r="C7" s="4">
        <v>13213</v>
      </c>
      <c r="D7" s="1">
        <v>56</v>
      </c>
      <c r="E7" s="25">
        <v>25538</v>
      </c>
      <c r="F7" s="8" t="s">
        <v>21</v>
      </c>
      <c r="G7" s="8" t="s">
        <v>151</v>
      </c>
      <c r="H7" s="8"/>
      <c r="I7" s="8"/>
      <c r="J7" s="22"/>
      <c r="K7" s="8"/>
      <c r="L7" s="8"/>
      <c r="M7" s="8"/>
      <c r="N7" s="8"/>
      <c r="O7" s="8"/>
      <c r="P7" s="8"/>
      <c r="Q7" s="8"/>
      <c r="R7" s="7"/>
      <c r="S7" s="7"/>
      <c r="T7" s="7"/>
      <c r="U7" s="7"/>
      <c r="V7" s="7"/>
      <c r="W7" s="7"/>
      <c r="X7" s="7"/>
      <c r="Y7" s="7"/>
    </row>
    <row r="8" spans="1:25" ht="15.75" customHeight="1">
      <c r="A8" s="7"/>
      <c r="B8" s="4" t="s">
        <v>73</v>
      </c>
      <c r="C8" s="4">
        <v>63474</v>
      </c>
      <c r="D8" s="1">
        <v>18</v>
      </c>
      <c r="E8" s="22">
        <v>39264</v>
      </c>
      <c r="F8" s="8" t="s">
        <v>21</v>
      </c>
      <c r="G8" s="8" t="s">
        <v>17</v>
      </c>
      <c r="H8" s="8"/>
      <c r="I8" s="8"/>
      <c r="J8" s="22"/>
      <c r="K8" s="8"/>
      <c r="L8" s="8"/>
      <c r="M8" s="8"/>
      <c r="N8" s="8"/>
      <c r="O8" s="8"/>
      <c r="P8" s="8"/>
      <c r="Q8" s="8"/>
      <c r="R8" s="7"/>
      <c r="S8" s="7"/>
      <c r="T8" s="7"/>
      <c r="U8" s="7"/>
      <c r="V8" s="7"/>
      <c r="W8" s="7"/>
      <c r="X8" s="7"/>
      <c r="Y8" s="7"/>
    </row>
    <row r="9" spans="1:25" ht="15.75" customHeight="1">
      <c r="A9" s="7"/>
      <c r="B9" s="4" t="s">
        <v>62</v>
      </c>
      <c r="C9" s="4">
        <v>90376</v>
      </c>
      <c r="D9" s="1">
        <v>22</v>
      </c>
      <c r="E9" s="22">
        <v>37803</v>
      </c>
      <c r="F9" s="8" t="s">
        <v>21</v>
      </c>
      <c r="G9" s="8" t="s">
        <v>15</v>
      </c>
      <c r="H9" s="8"/>
      <c r="I9" s="8"/>
      <c r="J9" s="22"/>
      <c r="K9" s="8"/>
      <c r="L9" s="8"/>
      <c r="M9" s="8"/>
      <c r="N9" s="8"/>
      <c r="O9" s="8"/>
      <c r="P9" s="8"/>
      <c r="Q9" s="8"/>
      <c r="R9" s="7"/>
      <c r="S9" s="7"/>
      <c r="T9" s="7"/>
      <c r="U9" s="7"/>
      <c r="V9" s="7"/>
      <c r="W9" s="7"/>
      <c r="X9" s="7"/>
      <c r="Y9" s="7"/>
    </row>
    <row r="10" spans="1:25" ht="15.75" customHeight="1">
      <c r="A10" s="7"/>
      <c r="B10" s="4" t="s">
        <v>31</v>
      </c>
      <c r="C10" s="4">
        <v>41638</v>
      </c>
      <c r="D10" s="1">
        <v>37</v>
      </c>
      <c r="E10" s="22">
        <v>32621</v>
      </c>
      <c r="F10" s="8" t="s">
        <v>21</v>
      </c>
      <c r="G10" s="8" t="s">
        <v>24</v>
      </c>
      <c r="H10" s="8"/>
      <c r="I10" s="8"/>
      <c r="J10" s="22"/>
      <c r="K10" s="8"/>
      <c r="L10" s="8"/>
      <c r="M10" s="8"/>
      <c r="N10" s="8"/>
      <c r="O10" s="8"/>
      <c r="P10" s="8"/>
      <c r="Q10" s="8"/>
      <c r="R10" s="7"/>
      <c r="S10" s="7"/>
      <c r="T10" s="7"/>
      <c r="U10" s="7"/>
      <c r="V10" s="7"/>
      <c r="W10" s="7"/>
      <c r="X10" s="7"/>
      <c r="Y10" s="7"/>
    </row>
    <row r="11" spans="1:25" ht="15.75" customHeight="1">
      <c r="A11" s="7"/>
      <c r="B11" s="4" t="s">
        <v>59</v>
      </c>
      <c r="C11" s="4">
        <v>109334</v>
      </c>
      <c r="D11" s="1">
        <v>16</v>
      </c>
      <c r="E11" s="22">
        <v>39995</v>
      </c>
      <c r="F11" s="8" t="s">
        <v>21</v>
      </c>
      <c r="G11" s="8" t="s">
        <v>7</v>
      </c>
      <c r="H11" s="8"/>
      <c r="I11" s="8"/>
      <c r="J11" s="22"/>
      <c r="K11" s="8"/>
      <c r="L11" s="8"/>
      <c r="M11" s="8"/>
      <c r="N11" s="8"/>
      <c r="O11" s="8"/>
      <c r="P11" s="8"/>
      <c r="Q11" s="8"/>
      <c r="R11" s="7"/>
      <c r="S11" s="7"/>
      <c r="T11" s="7"/>
      <c r="U11" s="7"/>
      <c r="V11" s="7"/>
      <c r="W11" s="7"/>
      <c r="X11" s="7"/>
      <c r="Y11" s="7"/>
    </row>
    <row r="12" spans="1:25" ht="15.75" customHeight="1">
      <c r="A12" s="7"/>
      <c r="B12" s="4" t="s">
        <v>74</v>
      </c>
      <c r="C12" s="4">
        <v>47297</v>
      </c>
      <c r="D12" s="1">
        <v>35</v>
      </c>
      <c r="E12" s="22">
        <v>33343</v>
      </c>
      <c r="F12" s="8" t="s">
        <v>21</v>
      </c>
      <c r="G12" s="8" t="s">
        <v>24</v>
      </c>
      <c r="H12" s="8"/>
      <c r="I12" s="8"/>
      <c r="J12" s="22"/>
      <c r="K12" s="8"/>
      <c r="L12" s="8"/>
      <c r="M12" s="8"/>
      <c r="N12" s="8"/>
      <c r="O12" s="8"/>
      <c r="P12" s="8"/>
      <c r="Q12" s="8"/>
      <c r="R12" s="7"/>
      <c r="S12" s="7"/>
      <c r="T12" s="7"/>
      <c r="U12" s="7"/>
      <c r="V12" s="7"/>
      <c r="W12" s="7"/>
      <c r="X12" s="7"/>
      <c r="Y12" s="7"/>
    </row>
    <row r="13" spans="1:25" ht="15.75" customHeight="1">
      <c r="A13" s="7"/>
      <c r="B13" s="4" t="s">
        <v>46</v>
      </c>
      <c r="C13" s="4">
        <v>106984</v>
      </c>
      <c r="D13" s="1">
        <v>23</v>
      </c>
      <c r="E13" s="22">
        <v>37446</v>
      </c>
      <c r="F13" s="8" t="s">
        <v>21</v>
      </c>
      <c r="G13" s="8" t="s">
        <v>13</v>
      </c>
      <c r="H13" s="8"/>
      <c r="I13" s="8"/>
      <c r="J13" s="22"/>
      <c r="K13" s="8"/>
      <c r="L13" s="8"/>
      <c r="M13" s="8"/>
      <c r="N13" s="8"/>
      <c r="O13" s="8"/>
      <c r="P13" s="8"/>
      <c r="Q13" s="8"/>
      <c r="R13" s="7"/>
      <c r="S13" s="7"/>
      <c r="T13" s="7"/>
      <c r="U13" s="7"/>
      <c r="V13" s="7"/>
      <c r="W13" s="7"/>
      <c r="X13" s="7"/>
      <c r="Y13" s="7"/>
    </row>
    <row r="14" spans="1:25" ht="15.75" customHeight="1">
      <c r="A14" s="7"/>
      <c r="B14" s="4" t="s">
        <v>71</v>
      </c>
      <c r="C14" s="4">
        <v>109837</v>
      </c>
      <c r="D14" s="1">
        <v>96</v>
      </c>
      <c r="E14" s="22">
        <v>10959</v>
      </c>
      <c r="F14" s="8" t="s">
        <v>21</v>
      </c>
      <c r="G14" s="8" t="s">
        <v>152</v>
      </c>
      <c r="H14" s="8"/>
      <c r="I14" s="8"/>
      <c r="J14" s="22"/>
      <c r="K14" s="8"/>
      <c r="L14" s="8"/>
      <c r="M14" s="8"/>
      <c r="N14" s="8"/>
      <c r="O14" s="8"/>
      <c r="P14" s="8"/>
      <c r="Q14" s="8"/>
      <c r="R14" s="7"/>
      <c r="S14" s="7"/>
      <c r="T14" s="7"/>
      <c r="U14" s="7"/>
      <c r="V14" s="7"/>
      <c r="W14" s="7"/>
      <c r="X14" s="7"/>
      <c r="Y14" s="7"/>
    </row>
    <row r="15" spans="1:25" ht="15.75" customHeight="1">
      <c r="A15" s="7"/>
      <c r="B15" s="4" t="s">
        <v>65</v>
      </c>
      <c r="C15" s="4">
        <v>93677</v>
      </c>
      <c r="D15" s="1">
        <v>28</v>
      </c>
      <c r="E15" s="25">
        <v>35674</v>
      </c>
      <c r="F15" s="8" t="s">
        <v>21</v>
      </c>
      <c r="G15" s="8" t="s">
        <v>14</v>
      </c>
      <c r="H15" s="8"/>
      <c r="I15" s="8"/>
      <c r="J15" s="22"/>
      <c r="K15" s="8"/>
      <c r="L15" s="8"/>
      <c r="M15" s="8"/>
      <c r="N15" s="8"/>
      <c r="O15" s="8"/>
      <c r="P15" s="8"/>
      <c r="Q15" s="8"/>
      <c r="R15" s="7"/>
      <c r="S15" s="7"/>
      <c r="T15" s="7"/>
      <c r="U15" s="7"/>
      <c r="V15" s="7"/>
      <c r="W15" s="7"/>
      <c r="X15" s="7"/>
      <c r="Y15" s="7"/>
    </row>
    <row r="16" spans="1:25" ht="15.75" customHeight="1">
      <c r="A16" s="7"/>
      <c r="B16" s="4" t="s">
        <v>53</v>
      </c>
      <c r="C16" s="4">
        <v>99863</v>
      </c>
      <c r="D16" s="1">
        <v>22</v>
      </c>
      <c r="E16" s="25">
        <v>37820</v>
      </c>
      <c r="F16" s="8" t="s">
        <v>21</v>
      </c>
      <c r="G16" s="8" t="s">
        <v>15</v>
      </c>
      <c r="H16" s="8"/>
      <c r="I16" s="8"/>
      <c r="J16" s="22"/>
      <c r="K16" s="8"/>
      <c r="L16" s="8"/>
      <c r="M16" s="8"/>
      <c r="N16" s="8"/>
      <c r="O16" s="8"/>
      <c r="P16" s="8"/>
      <c r="Q16" s="8"/>
      <c r="R16" s="7"/>
      <c r="S16" s="7"/>
      <c r="T16" s="7"/>
      <c r="U16" s="7"/>
      <c r="V16" s="7"/>
      <c r="W16" s="7"/>
      <c r="X16" s="7"/>
      <c r="Y16" s="7"/>
    </row>
    <row r="17" spans="1:25" ht="15.75" customHeight="1">
      <c r="A17" s="7"/>
      <c r="B17" s="4" t="s">
        <v>64</v>
      </c>
      <c r="C17" s="4">
        <v>626</v>
      </c>
      <c r="D17" s="1">
        <v>83</v>
      </c>
      <c r="E17" s="25">
        <v>15738</v>
      </c>
      <c r="F17" s="8" t="s">
        <v>21</v>
      </c>
      <c r="G17" s="8" t="s">
        <v>152</v>
      </c>
      <c r="H17" s="8"/>
      <c r="I17" s="8"/>
      <c r="J17" s="22"/>
      <c r="K17" s="8"/>
      <c r="L17" s="8"/>
      <c r="M17" s="8"/>
      <c r="N17" s="8"/>
      <c r="O17" s="8"/>
      <c r="P17" s="8"/>
      <c r="Q17" s="8"/>
      <c r="R17" s="7"/>
      <c r="S17" s="7"/>
      <c r="T17" s="7"/>
      <c r="U17" s="7"/>
      <c r="V17" s="7"/>
      <c r="W17" s="7"/>
      <c r="X17" s="7"/>
      <c r="Y17" s="7"/>
    </row>
    <row r="18" spans="1:25" ht="15.75" customHeight="1">
      <c r="A18" s="7"/>
      <c r="B18" s="4" t="s">
        <v>72</v>
      </c>
      <c r="C18" s="4">
        <v>116539</v>
      </c>
      <c r="D18" s="1">
        <v>15</v>
      </c>
      <c r="E18" s="25">
        <v>40639</v>
      </c>
      <c r="F18" s="8" t="s">
        <v>21</v>
      </c>
      <c r="G18" s="8" t="s">
        <v>25</v>
      </c>
      <c r="H18" s="8"/>
      <c r="I18" s="8"/>
      <c r="J18" s="22"/>
      <c r="K18" s="8"/>
      <c r="L18" s="8"/>
      <c r="M18" s="8"/>
      <c r="N18" s="8"/>
      <c r="O18" s="8"/>
      <c r="P18" s="8"/>
      <c r="Q18" s="8"/>
      <c r="R18" s="7"/>
      <c r="S18" s="7"/>
      <c r="T18" s="7"/>
      <c r="U18" s="7"/>
      <c r="V18" s="7"/>
      <c r="W18" s="7"/>
      <c r="X18" s="7"/>
      <c r="Y18" s="7"/>
    </row>
    <row r="19" spans="1:25" ht="15.75" customHeight="1">
      <c r="A19" s="7"/>
      <c r="B19" s="4" t="s">
        <v>67</v>
      </c>
      <c r="C19" s="4">
        <v>101840</v>
      </c>
      <c r="D19" s="1">
        <v>30</v>
      </c>
      <c r="E19" s="25">
        <v>35004</v>
      </c>
      <c r="F19" s="8" t="s">
        <v>21</v>
      </c>
      <c r="G19" s="8" t="s">
        <v>20</v>
      </c>
      <c r="H19" s="1"/>
      <c r="I19" s="8"/>
      <c r="J19" s="22"/>
      <c r="K19" s="8"/>
      <c r="L19" s="8"/>
      <c r="M19" s="8"/>
      <c r="N19" s="8"/>
      <c r="O19" s="8"/>
      <c r="P19" s="8"/>
      <c r="Q19" s="8"/>
      <c r="R19" s="7"/>
      <c r="S19" s="7"/>
      <c r="T19" s="7"/>
      <c r="U19" s="7"/>
      <c r="V19" s="7"/>
      <c r="W19" s="7"/>
      <c r="X19" s="7"/>
      <c r="Y19" s="7"/>
    </row>
    <row r="20" spans="1:25" ht="15.75" customHeight="1">
      <c r="A20" s="7"/>
      <c r="B20" s="4" t="s">
        <v>50</v>
      </c>
      <c r="C20" s="4">
        <v>57300</v>
      </c>
      <c r="D20" s="1">
        <v>25</v>
      </c>
      <c r="E20" s="25">
        <v>36934</v>
      </c>
      <c r="F20" s="8" t="s">
        <v>21</v>
      </c>
      <c r="G20" s="8" t="s">
        <v>14</v>
      </c>
      <c r="H20" s="8"/>
      <c r="I20" s="8"/>
      <c r="J20" s="22"/>
      <c r="K20" s="8"/>
      <c r="L20" s="8"/>
      <c r="M20" s="8"/>
      <c r="N20" s="8"/>
      <c r="O20" s="8"/>
      <c r="P20" s="8"/>
      <c r="Q20" s="8"/>
      <c r="R20" s="7"/>
      <c r="S20" s="7"/>
      <c r="T20" s="7"/>
      <c r="U20" s="7"/>
      <c r="V20" s="7"/>
      <c r="W20" s="7"/>
      <c r="X20" s="7"/>
      <c r="Y20" s="7"/>
    </row>
    <row r="21" spans="1:25" ht="15.75" customHeight="1">
      <c r="A21" s="7"/>
      <c r="B21" s="27" t="s">
        <v>44</v>
      </c>
      <c r="C21" s="27">
        <v>106065</v>
      </c>
      <c r="D21" s="8">
        <v>16</v>
      </c>
      <c r="E21" s="25">
        <v>40090</v>
      </c>
      <c r="F21" s="8" t="s">
        <v>21</v>
      </c>
      <c r="G21" s="8" t="s">
        <v>7</v>
      </c>
      <c r="H21" s="8"/>
      <c r="I21" s="8"/>
      <c r="J21" s="22"/>
      <c r="K21" s="8"/>
      <c r="L21" s="8"/>
      <c r="M21" s="8"/>
      <c r="N21" s="8"/>
      <c r="O21" s="8"/>
      <c r="P21" s="8"/>
      <c r="Q21" s="8"/>
      <c r="R21" s="7"/>
      <c r="S21" s="7"/>
      <c r="T21" s="7"/>
      <c r="U21" s="7"/>
      <c r="V21" s="7"/>
      <c r="W21" s="7"/>
      <c r="X21" s="7"/>
      <c r="Y21" s="7"/>
    </row>
    <row r="22" spans="1:25" ht="15.75" customHeight="1">
      <c r="A22" s="7"/>
      <c r="B22" s="4" t="s">
        <v>63</v>
      </c>
      <c r="C22" s="4">
        <v>93130</v>
      </c>
      <c r="D22" s="1">
        <v>22</v>
      </c>
      <c r="E22" s="21">
        <v>38062</v>
      </c>
      <c r="F22" s="8" t="s">
        <v>21</v>
      </c>
      <c r="G22" s="8" t="s">
        <v>15</v>
      </c>
      <c r="H22" s="8"/>
      <c r="I22" s="8"/>
      <c r="J22" s="22"/>
      <c r="K22" s="8"/>
      <c r="L22" s="8"/>
      <c r="M22" s="8"/>
      <c r="N22" s="8"/>
      <c r="O22" s="8"/>
      <c r="P22" s="8"/>
      <c r="Q22" s="8"/>
      <c r="R22" s="7"/>
      <c r="S22" s="7"/>
      <c r="T22" s="7"/>
      <c r="U22" s="7"/>
      <c r="V22" s="7"/>
      <c r="W22" s="7"/>
      <c r="X22" s="7"/>
      <c r="Y22" s="7"/>
    </row>
    <row r="23" spans="1:25" ht="15.75" customHeight="1">
      <c r="A23" s="7"/>
      <c r="B23" s="4" t="s">
        <v>22</v>
      </c>
      <c r="C23" s="4">
        <v>57301</v>
      </c>
      <c r="D23" s="1">
        <v>23</v>
      </c>
      <c r="E23" s="25">
        <v>37519</v>
      </c>
      <c r="F23" s="8" t="s">
        <v>21</v>
      </c>
      <c r="G23" s="8" t="s">
        <v>13</v>
      </c>
      <c r="H23" s="8"/>
      <c r="I23" s="8"/>
      <c r="J23" s="22"/>
      <c r="K23" s="8"/>
      <c r="L23" s="8"/>
      <c r="M23" s="8"/>
      <c r="N23" s="8"/>
      <c r="O23" s="8"/>
      <c r="P23" s="8"/>
      <c r="Q23" s="8"/>
      <c r="R23" s="7"/>
      <c r="S23" s="7"/>
      <c r="T23" s="7"/>
      <c r="U23" s="7"/>
      <c r="V23" s="7"/>
      <c r="W23" s="7"/>
      <c r="X23" s="7"/>
      <c r="Y23" s="7"/>
    </row>
    <row r="24" spans="1:25" ht="15.75" customHeight="1">
      <c r="A24" s="7"/>
      <c r="B24" s="4" t="s">
        <v>68</v>
      </c>
      <c r="C24" s="4">
        <v>13495</v>
      </c>
      <c r="D24" s="1">
        <v>43</v>
      </c>
      <c r="E24" s="25">
        <v>30307</v>
      </c>
      <c r="F24" s="8" t="s">
        <v>21</v>
      </c>
      <c r="G24" s="8" t="s">
        <v>111</v>
      </c>
      <c r="H24" s="8"/>
      <c r="I24" s="8"/>
      <c r="J24" s="22"/>
      <c r="K24" s="8"/>
      <c r="L24" s="8"/>
      <c r="M24" s="8"/>
      <c r="N24" s="8"/>
      <c r="O24" s="8"/>
      <c r="P24" s="8"/>
      <c r="Q24" s="8"/>
      <c r="R24" s="7"/>
      <c r="S24" s="7"/>
      <c r="T24" s="7"/>
      <c r="U24" s="7"/>
      <c r="V24" s="7"/>
      <c r="W24" s="7"/>
      <c r="X24" s="7"/>
      <c r="Y24" s="7"/>
    </row>
    <row r="25" spans="1:25" ht="15.75" customHeight="1">
      <c r="A25" s="7"/>
      <c r="B25" s="4" t="s">
        <v>54</v>
      </c>
      <c r="C25" s="4">
        <v>92534</v>
      </c>
      <c r="D25" s="1">
        <v>18</v>
      </c>
      <c r="E25" s="25">
        <v>39618</v>
      </c>
      <c r="F25" s="8" t="s">
        <v>21</v>
      </c>
      <c r="G25" s="8" t="s">
        <v>17</v>
      </c>
      <c r="H25" s="8"/>
      <c r="I25" s="8"/>
      <c r="J25" s="22"/>
      <c r="K25" s="8"/>
      <c r="L25" s="8"/>
      <c r="M25" s="8"/>
      <c r="N25" s="8"/>
      <c r="O25" s="8"/>
      <c r="P25" s="8"/>
      <c r="Q25" s="8"/>
      <c r="R25" s="7"/>
      <c r="S25" s="7"/>
      <c r="T25" s="7"/>
      <c r="U25" s="7"/>
      <c r="V25" s="7"/>
      <c r="W25" s="7"/>
      <c r="X25" s="7"/>
      <c r="Y25" s="7"/>
    </row>
    <row r="26" spans="1:25" ht="15.75" customHeight="1">
      <c r="A26" s="7"/>
      <c r="B26" s="4" t="s">
        <v>60</v>
      </c>
      <c r="C26" s="4">
        <v>99862</v>
      </c>
      <c r="D26" s="1">
        <v>23</v>
      </c>
      <c r="E26" s="25">
        <v>37791</v>
      </c>
      <c r="F26" s="8" t="s">
        <v>21</v>
      </c>
      <c r="G26" s="8" t="s">
        <v>13</v>
      </c>
      <c r="H26" s="8"/>
      <c r="I26" s="8"/>
      <c r="J26" s="28"/>
      <c r="K26" s="8"/>
      <c r="L26" s="8"/>
      <c r="M26" s="8"/>
      <c r="N26" s="8"/>
      <c r="O26" s="8"/>
      <c r="P26" s="8"/>
      <c r="Q26" s="8"/>
      <c r="R26" s="7"/>
      <c r="S26" s="7"/>
      <c r="T26" s="7"/>
      <c r="U26" s="7"/>
      <c r="V26" s="7"/>
      <c r="W26" s="7"/>
      <c r="X26" s="7"/>
      <c r="Y26" s="7"/>
    </row>
    <row r="27" spans="1:25" ht="15.75" customHeight="1">
      <c r="A27" s="7"/>
      <c r="B27" s="4" t="s">
        <v>56</v>
      </c>
      <c r="C27" s="4">
        <v>25517</v>
      </c>
      <c r="D27" s="1">
        <v>36</v>
      </c>
      <c r="E27" s="25">
        <v>32874</v>
      </c>
      <c r="F27" s="8" t="s">
        <v>21</v>
      </c>
      <c r="G27" s="8" t="s">
        <v>24</v>
      </c>
      <c r="H27" s="8"/>
      <c r="I27" s="8"/>
      <c r="J27" s="28"/>
      <c r="K27" s="8"/>
      <c r="L27" s="8"/>
      <c r="M27" s="8"/>
      <c r="N27" s="8"/>
      <c r="O27" s="8"/>
      <c r="P27" s="8"/>
      <c r="Q27" s="8"/>
      <c r="R27" s="7"/>
      <c r="S27" s="7"/>
      <c r="T27" s="7"/>
      <c r="U27" s="7"/>
      <c r="V27" s="7"/>
      <c r="W27" s="7"/>
      <c r="X27" s="7"/>
      <c r="Y27" s="7"/>
    </row>
    <row r="28" spans="1:25" ht="15.75" customHeight="1">
      <c r="A28" s="7"/>
      <c r="B28" s="4" t="s">
        <v>38</v>
      </c>
      <c r="C28" s="4">
        <v>108342</v>
      </c>
      <c r="D28" s="1">
        <v>24</v>
      </c>
      <c r="E28" s="25">
        <v>37410</v>
      </c>
      <c r="F28" s="8" t="s">
        <v>21</v>
      </c>
      <c r="G28" s="8" t="s">
        <v>14</v>
      </c>
      <c r="H28" s="8"/>
      <c r="I28" s="8"/>
      <c r="J28" s="28"/>
      <c r="K28" s="8"/>
      <c r="L28" s="8"/>
      <c r="M28" s="8"/>
      <c r="N28" s="8"/>
      <c r="O28" s="8"/>
      <c r="P28" s="8"/>
      <c r="Q28" s="8"/>
      <c r="R28" s="7"/>
      <c r="S28" s="7"/>
      <c r="T28" s="7"/>
      <c r="U28" s="7"/>
      <c r="V28" s="7"/>
      <c r="W28" s="7"/>
      <c r="X28" s="7"/>
      <c r="Y28" s="7"/>
    </row>
    <row r="29" spans="1:25" ht="15.75" customHeight="1">
      <c r="A29" s="7"/>
      <c r="B29" s="4" t="s">
        <v>43</v>
      </c>
      <c r="C29" s="4">
        <v>94320</v>
      </c>
      <c r="D29" s="1">
        <v>21</v>
      </c>
      <c r="E29" s="25">
        <v>38513</v>
      </c>
      <c r="F29" s="8" t="s">
        <v>21</v>
      </c>
      <c r="G29" s="8" t="s">
        <v>18</v>
      </c>
      <c r="H29" s="8"/>
      <c r="I29" s="8"/>
      <c r="J29" s="28"/>
      <c r="K29" s="8"/>
      <c r="L29" s="8"/>
      <c r="M29" s="8"/>
      <c r="N29" s="8"/>
      <c r="O29" s="8"/>
      <c r="P29" s="8"/>
      <c r="Q29" s="8"/>
      <c r="R29" s="7"/>
      <c r="S29" s="7"/>
      <c r="T29" s="7"/>
      <c r="U29" s="7"/>
      <c r="V29" s="7"/>
      <c r="W29" s="7"/>
      <c r="X29" s="7"/>
      <c r="Y29" s="7"/>
    </row>
    <row r="30" spans="1:25" ht="15.75" customHeight="1">
      <c r="A30" s="7"/>
      <c r="B30" s="4" t="s">
        <v>57</v>
      </c>
      <c r="C30" s="4">
        <v>60819</v>
      </c>
      <c r="D30" s="1">
        <v>25</v>
      </c>
      <c r="E30" s="25">
        <v>36806</v>
      </c>
      <c r="F30" s="8" t="s">
        <v>21</v>
      </c>
      <c r="G30" s="8" t="s">
        <v>14</v>
      </c>
      <c r="H30" s="8"/>
      <c r="I30" s="8"/>
      <c r="J30" s="28"/>
      <c r="K30" s="8"/>
      <c r="L30" s="8"/>
      <c r="M30" s="8"/>
      <c r="N30" s="8"/>
      <c r="O30" s="8"/>
      <c r="P30" s="8"/>
      <c r="Q30" s="8"/>
      <c r="R30" s="7"/>
      <c r="S30" s="7"/>
      <c r="T30" s="7"/>
      <c r="U30" s="7"/>
      <c r="V30" s="7"/>
      <c r="W30" s="7"/>
      <c r="X30" s="7"/>
      <c r="Y30" s="7"/>
    </row>
    <row r="31" spans="1:25" ht="15.75" customHeight="1">
      <c r="A31" s="7"/>
      <c r="B31" s="4" t="s">
        <v>58</v>
      </c>
      <c r="C31" s="4">
        <v>113505</v>
      </c>
      <c r="D31" s="1">
        <v>16</v>
      </c>
      <c r="E31" s="25">
        <v>39997</v>
      </c>
      <c r="F31" s="8" t="s">
        <v>21</v>
      </c>
      <c r="G31" s="8" t="s">
        <v>7</v>
      </c>
      <c r="H31" s="8"/>
      <c r="I31" s="8"/>
      <c r="J31" s="28"/>
      <c r="K31" s="8"/>
      <c r="L31" s="8"/>
      <c r="M31" s="8"/>
      <c r="N31" s="8"/>
      <c r="O31" s="8"/>
      <c r="P31" s="8"/>
      <c r="Q31" s="8"/>
      <c r="R31" s="7"/>
      <c r="S31" s="7"/>
      <c r="T31" s="7"/>
      <c r="U31" s="7"/>
      <c r="V31" s="7"/>
      <c r="W31" s="7"/>
      <c r="X31" s="7"/>
      <c r="Y31" s="7"/>
    </row>
    <row r="32" spans="1:25" ht="15.75" customHeight="1">
      <c r="A32" s="7"/>
      <c r="B32" s="4" t="s">
        <v>49</v>
      </c>
      <c r="C32" s="4">
        <v>5540</v>
      </c>
      <c r="D32" s="1">
        <v>49</v>
      </c>
      <c r="E32" s="25">
        <v>28230</v>
      </c>
      <c r="F32" s="8" t="s">
        <v>21</v>
      </c>
      <c r="G32" s="8" t="s">
        <v>153</v>
      </c>
      <c r="H32" s="8"/>
      <c r="I32" s="8"/>
      <c r="J32" s="28"/>
      <c r="K32" s="8"/>
      <c r="L32" s="8"/>
      <c r="M32" s="8"/>
      <c r="N32" s="8"/>
      <c r="O32" s="8"/>
      <c r="P32" s="8"/>
      <c r="Q32" s="8"/>
      <c r="R32" s="7"/>
      <c r="S32" s="7"/>
      <c r="T32" s="7"/>
      <c r="U32" s="7"/>
      <c r="V32" s="7"/>
      <c r="W32" s="7"/>
      <c r="X32" s="7"/>
      <c r="Y32" s="7"/>
    </row>
    <row r="33" spans="1:25" ht="15.75" customHeight="1">
      <c r="A33" s="7"/>
      <c r="B33" s="4" t="s">
        <v>40</v>
      </c>
      <c r="C33" s="4">
        <v>75917</v>
      </c>
      <c r="D33" s="1">
        <v>22</v>
      </c>
      <c r="E33" s="25">
        <v>38166</v>
      </c>
      <c r="F33" s="8" t="s">
        <v>21</v>
      </c>
      <c r="G33" s="8" t="s">
        <v>15</v>
      </c>
      <c r="H33" s="8"/>
      <c r="I33" s="8"/>
      <c r="J33" s="28"/>
      <c r="K33" s="8"/>
      <c r="L33" s="8"/>
      <c r="M33" s="8"/>
      <c r="N33" s="8"/>
      <c r="O33" s="8"/>
      <c r="P33" s="8"/>
      <c r="Q33" s="8"/>
      <c r="R33" s="7"/>
      <c r="S33" s="7"/>
      <c r="T33" s="7"/>
      <c r="U33" s="7"/>
      <c r="V33" s="7"/>
      <c r="W33" s="7"/>
      <c r="X33" s="7"/>
      <c r="Y33" s="7"/>
    </row>
    <row r="34" spans="1:25" ht="15.75" customHeight="1">
      <c r="A34" s="7"/>
      <c r="B34" s="4" t="s">
        <v>35</v>
      </c>
      <c r="C34" s="4">
        <v>83279</v>
      </c>
      <c r="D34" s="1">
        <v>22</v>
      </c>
      <c r="E34" s="25">
        <v>37998</v>
      </c>
      <c r="F34" s="8" t="s">
        <v>21</v>
      </c>
      <c r="G34" s="8" t="s">
        <v>15</v>
      </c>
      <c r="H34" s="8"/>
      <c r="I34" s="8"/>
      <c r="J34" s="28"/>
      <c r="K34" s="8"/>
      <c r="L34" s="8"/>
      <c r="M34" s="8"/>
      <c r="N34" s="8"/>
      <c r="O34" s="8"/>
      <c r="P34" s="8"/>
      <c r="Q34" s="8"/>
      <c r="R34" s="7"/>
      <c r="S34" s="7"/>
      <c r="T34" s="7"/>
      <c r="U34" s="7"/>
      <c r="V34" s="7"/>
      <c r="W34" s="7"/>
      <c r="X34" s="7"/>
      <c r="Y34" s="7"/>
    </row>
    <row r="35" spans="1:25" ht="15.7">
      <c r="A35" s="7"/>
      <c r="B35" s="4" t="s">
        <v>70</v>
      </c>
      <c r="C35" s="4">
        <v>92535</v>
      </c>
      <c r="D35" s="1">
        <v>18</v>
      </c>
      <c r="E35" s="25">
        <v>39547</v>
      </c>
      <c r="F35" s="8" t="s">
        <v>21</v>
      </c>
      <c r="G35" s="8" t="s">
        <v>17</v>
      </c>
      <c r="H35" s="8"/>
      <c r="I35" s="8"/>
      <c r="J35" s="28"/>
      <c r="K35" s="8"/>
      <c r="L35" s="8"/>
      <c r="M35" s="8"/>
      <c r="N35" s="8"/>
      <c r="O35" s="8"/>
      <c r="P35" s="8"/>
      <c r="Q35" s="8"/>
      <c r="R35" s="7"/>
      <c r="S35" s="7"/>
      <c r="T35" s="7"/>
      <c r="U35" s="7"/>
      <c r="V35" s="7"/>
      <c r="W35" s="7"/>
      <c r="X35" s="7"/>
      <c r="Y35" s="7"/>
    </row>
    <row r="36" spans="1:25" ht="15.7">
      <c r="A36" s="7"/>
      <c r="B36" s="4" t="s">
        <v>42</v>
      </c>
      <c r="C36" s="4">
        <v>89264</v>
      </c>
      <c r="D36" s="1">
        <v>21</v>
      </c>
      <c r="E36" s="25">
        <v>38188</v>
      </c>
      <c r="F36" s="8" t="s">
        <v>21</v>
      </c>
      <c r="G36" s="8" t="s">
        <v>18</v>
      </c>
      <c r="H36" s="8"/>
      <c r="I36" s="8"/>
      <c r="J36" s="8"/>
      <c r="K36" s="13"/>
      <c r="L36" s="8"/>
      <c r="M36" s="8"/>
      <c r="N36" s="8"/>
      <c r="O36" s="8"/>
      <c r="P36" s="8"/>
      <c r="Q36" s="8"/>
      <c r="R36" s="7"/>
      <c r="S36" s="7"/>
      <c r="T36" s="7"/>
      <c r="U36" s="7"/>
      <c r="V36" s="7"/>
      <c r="W36" s="7"/>
      <c r="X36" s="7"/>
      <c r="Y36" s="7"/>
    </row>
    <row r="37" spans="1:25" ht="15.7">
      <c r="A37" s="7"/>
      <c r="B37" s="4" t="s">
        <v>76</v>
      </c>
      <c r="C37" s="4">
        <v>50911</v>
      </c>
      <c r="D37" s="1">
        <v>42</v>
      </c>
      <c r="E37" s="25">
        <v>30590</v>
      </c>
      <c r="F37" s="8" t="s">
        <v>21</v>
      </c>
      <c r="G37" s="8" t="s">
        <v>111</v>
      </c>
      <c r="H37" s="8"/>
      <c r="I37" s="8"/>
      <c r="J37" s="8"/>
      <c r="K37" s="13"/>
      <c r="L37" s="8"/>
      <c r="M37" s="8"/>
      <c r="N37" s="8"/>
      <c r="O37" s="8"/>
      <c r="P37" s="8"/>
      <c r="Q37" s="7"/>
      <c r="R37" s="7"/>
      <c r="S37" s="7"/>
      <c r="T37" s="7"/>
      <c r="U37" s="7"/>
      <c r="V37" s="7"/>
      <c r="W37" s="7"/>
      <c r="X37" s="7"/>
      <c r="Y37" s="7"/>
    </row>
    <row r="38" spans="1:25" ht="15.7">
      <c r="A38" s="7"/>
      <c r="B38" s="27" t="s">
        <v>47</v>
      </c>
      <c r="C38" s="27">
        <v>79814</v>
      </c>
      <c r="D38" s="8">
        <v>18</v>
      </c>
      <c r="E38" s="25">
        <v>39424</v>
      </c>
      <c r="F38" s="8" t="s">
        <v>21</v>
      </c>
      <c r="G38" s="8" t="s">
        <v>17</v>
      </c>
      <c r="H38" s="8"/>
      <c r="I38" s="8"/>
      <c r="J38" s="8"/>
      <c r="K38" s="13"/>
      <c r="L38" s="8"/>
      <c r="M38" s="8"/>
      <c r="N38" s="8"/>
      <c r="O38" s="8"/>
      <c r="P38" s="8"/>
      <c r="Q38" s="7"/>
      <c r="R38" s="7"/>
      <c r="S38" s="7"/>
      <c r="T38" s="7"/>
      <c r="U38" s="7"/>
      <c r="V38" s="7"/>
      <c r="W38" s="7"/>
      <c r="X38" s="7"/>
      <c r="Y38" s="7"/>
    </row>
    <row r="39" spans="1:25" ht="15.7">
      <c r="A39" s="7"/>
      <c r="B39" s="4" t="s">
        <v>48</v>
      </c>
      <c r="C39" s="4">
        <v>106985</v>
      </c>
      <c r="D39" s="1">
        <v>18</v>
      </c>
      <c r="E39" s="25">
        <v>39573</v>
      </c>
      <c r="F39" s="8" t="s">
        <v>21</v>
      </c>
      <c r="G39" s="8" t="s">
        <v>17</v>
      </c>
      <c r="H39" s="8"/>
      <c r="I39" s="8"/>
      <c r="J39" s="8"/>
      <c r="K39" s="13"/>
      <c r="L39" s="8"/>
      <c r="M39" s="8"/>
      <c r="N39" s="8"/>
      <c r="O39" s="8"/>
      <c r="P39" s="8"/>
      <c r="Q39" s="7"/>
      <c r="R39" s="7"/>
      <c r="S39" s="7"/>
      <c r="T39" s="7"/>
      <c r="U39" s="7"/>
      <c r="V39" s="7"/>
      <c r="W39" s="7"/>
      <c r="X39" s="7"/>
      <c r="Y39" s="7"/>
    </row>
    <row r="40" spans="1:25" ht="15.7">
      <c r="A40" s="7"/>
      <c r="B40" s="4" t="s">
        <v>154</v>
      </c>
      <c r="C40" s="4">
        <v>115281</v>
      </c>
      <c r="D40" s="1">
        <v>28</v>
      </c>
      <c r="E40" s="25">
        <v>35968</v>
      </c>
      <c r="F40" s="8" t="s">
        <v>21</v>
      </c>
      <c r="G40" s="8" t="s">
        <v>14</v>
      </c>
      <c r="H40" s="8"/>
      <c r="I40" s="8"/>
      <c r="J40" s="8"/>
      <c r="K40" s="8"/>
      <c r="L40" s="13"/>
      <c r="M40" s="8"/>
      <c r="N40" s="8"/>
      <c r="O40" s="8"/>
      <c r="P40" s="8"/>
      <c r="Q40" s="7"/>
      <c r="R40" s="7"/>
      <c r="S40" s="7"/>
      <c r="T40" s="7"/>
      <c r="U40" s="7"/>
      <c r="V40" s="7"/>
      <c r="W40" s="7"/>
      <c r="X40" s="7"/>
      <c r="Y40" s="7"/>
    </row>
    <row r="41" spans="1:25" ht="15.7">
      <c r="A41" s="7"/>
      <c r="B41" s="4" t="s">
        <v>69</v>
      </c>
      <c r="C41" s="4">
        <v>12509</v>
      </c>
      <c r="D41" s="1">
        <v>42</v>
      </c>
      <c r="E41" s="25">
        <v>30559</v>
      </c>
      <c r="F41" s="8" t="s">
        <v>21</v>
      </c>
      <c r="G41" s="8" t="s">
        <v>111</v>
      </c>
      <c r="H41" s="8"/>
      <c r="I41" s="8"/>
      <c r="J41" s="8"/>
      <c r="K41" s="8"/>
      <c r="L41" s="13"/>
      <c r="M41" s="8"/>
      <c r="N41" s="8"/>
      <c r="O41" s="8"/>
      <c r="P41" s="8"/>
      <c r="Q41" s="8"/>
      <c r="R41" s="7"/>
      <c r="S41" s="7"/>
      <c r="T41" s="7"/>
      <c r="U41" s="7"/>
      <c r="V41" s="7"/>
      <c r="W41" s="7"/>
      <c r="X41" s="7"/>
      <c r="Y41" s="7"/>
    </row>
    <row r="42" spans="1:25" ht="15.7">
      <c r="A42" s="7"/>
      <c r="B42" s="4" t="s">
        <v>37</v>
      </c>
      <c r="C42" s="4">
        <v>89456</v>
      </c>
      <c r="D42" s="1">
        <v>22</v>
      </c>
      <c r="E42" s="25">
        <v>38111</v>
      </c>
      <c r="F42" s="8" t="s">
        <v>21</v>
      </c>
      <c r="G42" s="8" t="s">
        <v>15</v>
      </c>
      <c r="H42" s="8"/>
      <c r="I42" s="8"/>
      <c r="J42" s="8"/>
      <c r="K42" s="8"/>
      <c r="L42" s="13"/>
      <c r="M42" s="8"/>
      <c r="N42" s="8"/>
      <c r="O42" s="8"/>
      <c r="P42" s="8"/>
      <c r="Q42" s="8"/>
      <c r="R42" s="7"/>
      <c r="S42" s="7"/>
      <c r="T42" s="7"/>
      <c r="U42" s="7"/>
      <c r="V42" s="7"/>
      <c r="W42" s="7"/>
      <c r="X42" s="7"/>
      <c r="Y42" s="7"/>
    </row>
    <row r="43" spans="1:25" ht="15.7">
      <c r="A43" s="7"/>
      <c r="B43" s="4" t="s">
        <v>55</v>
      </c>
      <c r="C43" s="4">
        <v>106986</v>
      </c>
      <c r="D43" s="1">
        <v>20</v>
      </c>
      <c r="E43" s="25">
        <v>38888</v>
      </c>
      <c r="F43" s="8" t="s">
        <v>21</v>
      </c>
      <c r="G43" s="8" t="s">
        <v>16</v>
      </c>
      <c r="H43" s="8"/>
      <c r="I43" s="8"/>
      <c r="J43" s="8"/>
      <c r="K43" s="8"/>
      <c r="L43" s="13"/>
      <c r="M43" s="8"/>
      <c r="N43" s="8"/>
      <c r="O43" s="8"/>
      <c r="P43" s="8"/>
      <c r="Q43" s="8"/>
      <c r="R43" s="7"/>
      <c r="S43" s="7"/>
      <c r="T43" s="7"/>
      <c r="U43" s="7"/>
      <c r="V43" s="7"/>
      <c r="W43" s="7"/>
      <c r="X43" s="7"/>
      <c r="Y43" s="7"/>
    </row>
    <row r="44" spans="1:25" ht="15.7">
      <c r="A44" s="7"/>
      <c r="B44" s="4" t="s">
        <v>52</v>
      </c>
      <c r="C44" s="4">
        <v>75918</v>
      </c>
      <c r="D44" s="1">
        <v>25</v>
      </c>
      <c r="E44" s="25">
        <v>36708</v>
      </c>
      <c r="F44" s="8" t="s">
        <v>21</v>
      </c>
      <c r="G44" s="8" t="s">
        <v>14</v>
      </c>
      <c r="H44" s="8"/>
      <c r="I44" s="8"/>
      <c r="J44" s="8"/>
      <c r="K44" s="8"/>
      <c r="L44" s="13"/>
      <c r="M44" s="8"/>
      <c r="N44" s="8"/>
      <c r="O44" s="8"/>
      <c r="P44" s="8"/>
      <c r="Q44" s="8"/>
      <c r="R44" s="7"/>
      <c r="S44" s="7"/>
      <c r="T44" s="7"/>
      <c r="U44" s="7"/>
      <c r="V44" s="7"/>
      <c r="W44" s="7"/>
      <c r="X44" s="7"/>
      <c r="Y44" s="7"/>
    </row>
    <row r="45" spans="1:25" ht="15.7">
      <c r="A45" s="7"/>
      <c r="B45" s="4" t="s">
        <v>89</v>
      </c>
      <c r="C45" s="4">
        <v>93128</v>
      </c>
      <c r="D45" s="1">
        <v>19</v>
      </c>
      <c r="E45" s="25">
        <v>39191</v>
      </c>
      <c r="F45" s="8" t="s">
        <v>77</v>
      </c>
      <c r="G45" s="8" t="s">
        <v>27</v>
      </c>
      <c r="H45" s="8"/>
      <c r="I45" s="8"/>
      <c r="J45" s="8"/>
      <c r="K45" s="8"/>
      <c r="L45" s="13"/>
      <c r="M45" s="8"/>
      <c r="N45" s="8"/>
      <c r="O45" s="8"/>
      <c r="P45" s="8"/>
      <c r="Q45" s="8"/>
      <c r="R45" s="7"/>
      <c r="S45" s="7"/>
      <c r="T45" s="7"/>
      <c r="U45" s="7"/>
      <c r="V45" s="7"/>
      <c r="W45" s="7"/>
      <c r="X45" s="7"/>
      <c r="Y45" s="7"/>
    </row>
    <row r="46" spans="1:25" ht="15.7">
      <c r="A46" s="7"/>
      <c r="B46" s="4" t="s">
        <v>98</v>
      </c>
      <c r="C46" s="4">
        <v>63473</v>
      </c>
      <c r="D46" s="1">
        <v>22</v>
      </c>
      <c r="E46" s="25">
        <v>38149</v>
      </c>
      <c r="F46" s="8" t="s">
        <v>77</v>
      </c>
      <c r="G46" s="8" t="s">
        <v>9</v>
      </c>
      <c r="H46" s="8"/>
      <c r="I46" s="8"/>
      <c r="J46" s="8"/>
      <c r="K46" s="8"/>
      <c r="L46" s="13"/>
      <c r="M46" s="8"/>
      <c r="N46" s="8"/>
      <c r="O46" s="8"/>
      <c r="P46" s="8"/>
      <c r="Q46" s="8"/>
      <c r="R46" s="7"/>
      <c r="S46" s="7"/>
      <c r="T46" s="7"/>
      <c r="U46" s="7"/>
      <c r="V46" s="7"/>
      <c r="W46" s="7"/>
      <c r="X46" s="7"/>
      <c r="Y46" s="7"/>
    </row>
    <row r="47" spans="1:25" ht="15.7">
      <c r="A47" s="7"/>
      <c r="B47" s="4" t="s">
        <v>126</v>
      </c>
      <c r="C47" s="4">
        <v>124909</v>
      </c>
      <c r="D47" s="1">
        <v>16</v>
      </c>
      <c r="E47" s="25">
        <v>39995</v>
      </c>
      <c r="F47" s="8" t="s">
        <v>77</v>
      </c>
      <c r="G47" s="8" t="s">
        <v>33</v>
      </c>
      <c r="H47" s="8"/>
      <c r="I47" s="8"/>
      <c r="J47" s="8"/>
      <c r="K47" s="8"/>
      <c r="L47" s="13"/>
      <c r="M47" s="8"/>
      <c r="N47" s="8"/>
      <c r="O47" s="8"/>
      <c r="P47" s="8"/>
      <c r="Q47" s="8"/>
      <c r="R47" s="7"/>
      <c r="S47" s="7"/>
      <c r="T47" s="7"/>
      <c r="U47" s="7"/>
      <c r="V47" s="7"/>
      <c r="W47" s="7"/>
      <c r="X47" s="7"/>
      <c r="Y47" s="7"/>
    </row>
    <row r="48" spans="1:25" ht="15.7">
      <c r="A48" s="7"/>
      <c r="B48" s="4" t="s">
        <v>92</v>
      </c>
      <c r="C48" s="4">
        <v>89458</v>
      </c>
      <c r="D48" s="1">
        <v>21</v>
      </c>
      <c r="E48" s="25">
        <v>38425</v>
      </c>
      <c r="F48" s="8" t="s">
        <v>77</v>
      </c>
      <c r="G48" s="8" t="s">
        <v>34</v>
      </c>
      <c r="H48" s="8"/>
      <c r="I48" s="8"/>
      <c r="J48" s="8"/>
      <c r="K48" s="8"/>
      <c r="L48" s="13"/>
      <c r="M48" s="8"/>
      <c r="N48" s="8"/>
      <c r="O48" s="8"/>
      <c r="P48" s="8"/>
      <c r="Q48" s="8"/>
      <c r="R48" s="7"/>
      <c r="S48" s="7"/>
      <c r="T48" s="7"/>
      <c r="U48" s="7"/>
      <c r="V48" s="7"/>
      <c r="W48" s="7"/>
      <c r="X48" s="7"/>
      <c r="Y48" s="7"/>
    </row>
    <row r="49" spans="1:25" ht="15.7">
      <c r="A49" s="7"/>
      <c r="B49" s="4" t="s">
        <v>102</v>
      </c>
      <c r="C49" s="4">
        <v>93667</v>
      </c>
      <c r="D49" s="1">
        <v>29</v>
      </c>
      <c r="E49" s="21">
        <v>35462</v>
      </c>
      <c r="F49" s="8" t="s">
        <v>77</v>
      </c>
      <c r="G49" s="8" t="s">
        <v>29</v>
      </c>
      <c r="H49" s="8"/>
      <c r="I49" s="8"/>
      <c r="J49" s="8"/>
      <c r="K49" s="8"/>
      <c r="L49" s="13"/>
      <c r="M49" s="8"/>
      <c r="N49" s="8"/>
      <c r="O49" s="8"/>
      <c r="P49" s="8"/>
      <c r="Q49" s="8"/>
      <c r="R49" s="7"/>
      <c r="S49" s="7"/>
      <c r="T49" s="7"/>
      <c r="U49" s="7"/>
      <c r="V49" s="7"/>
      <c r="W49" s="7"/>
      <c r="X49" s="7"/>
      <c r="Y49" s="7"/>
    </row>
    <row r="50" spans="1:25" ht="15.7">
      <c r="A50" s="7"/>
      <c r="B50" s="4" t="s">
        <v>96</v>
      </c>
      <c r="C50" s="4">
        <v>114304</v>
      </c>
      <c r="D50" s="1">
        <v>17</v>
      </c>
      <c r="E50" s="25">
        <v>39630</v>
      </c>
      <c r="F50" s="8" t="s">
        <v>77</v>
      </c>
      <c r="G50" s="8" t="s">
        <v>36</v>
      </c>
      <c r="H50" s="8"/>
      <c r="I50" s="8"/>
      <c r="J50" s="8"/>
      <c r="K50" s="8"/>
      <c r="L50" s="13"/>
      <c r="M50" s="8"/>
      <c r="N50" s="8"/>
      <c r="O50" s="8"/>
      <c r="P50" s="8"/>
      <c r="Q50" s="8"/>
      <c r="R50" s="7"/>
      <c r="S50" s="7"/>
      <c r="T50" s="7"/>
      <c r="U50" s="7"/>
      <c r="V50" s="7"/>
      <c r="W50" s="7"/>
      <c r="X50" s="7"/>
      <c r="Y50" s="7"/>
    </row>
    <row r="51" spans="1:25" ht="15.7">
      <c r="A51" s="7"/>
      <c r="B51" s="4" t="s">
        <v>99</v>
      </c>
      <c r="C51" s="4">
        <v>112099</v>
      </c>
      <c r="D51" s="1">
        <v>18</v>
      </c>
      <c r="E51" s="25">
        <v>39377</v>
      </c>
      <c r="F51" s="8" t="s">
        <v>77</v>
      </c>
      <c r="G51" s="8" t="s">
        <v>28</v>
      </c>
      <c r="H51" s="8"/>
      <c r="I51" s="8"/>
      <c r="J51" s="8"/>
      <c r="K51" s="8"/>
      <c r="L51" s="13"/>
      <c r="M51" s="8"/>
      <c r="N51" s="8"/>
      <c r="O51" s="8"/>
      <c r="P51" s="8"/>
      <c r="Q51" s="8"/>
      <c r="R51" s="7"/>
      <c r="S51" s="7"/>
      <c r="T51" s="7"/>
      <c r="U51" s="7"/>
      <c r="V51" s="7"/>
      <c r="W51" s="7"/>
      <c r="X51" s="7"/>
      <c r="Y51" s="7"/>
    </row>
    <row r="52" spans="1:25" ht="15.7">
      <c r="A52" s="7"/>
      <c r="B52" s="4" t="s">
        <v>78</v>
      </c>
      <c r="C52" s="4">
        <v>83318</v>
      </c>
      <c r="D52" s="1">
        <v>25</v>
      </c>
      <c r="E52" s="25">
        <v>36910</v>
      </c>
      <c r="F52" s="8" t="s">
        <v>77</v>
      </c>
      <c r="G52" s="8" t="s">
        <v>29</v>
      </c>
      <c r="H52" s="8"/>
      <c r="I52" s="8"/>
      <c r="J52" s="8"/>
      <c r="K52" s="8"/>
      <c r="L52" s="13"/>
      <c r="M52" s="8"/>
      <c r="N52" s="8"/>
      <c r="O52" s="8"/>
      <c r="P52" s="8"/>
      <c r="Q52" s="8"/>
      <c r="R52" s="7"/>
      <c r="S52" s="7"/>
      <c r="T52" s="7"/>
      <c r="U52" s="7"/>
      <c r="V52" s="7"/>
      <c r="W52" s="7"/>
      <c r="X52" s="7"/>
      <c r="Y52" s="7"/>
    </row>
    <row r="53" spans="1:25" ht="15.7">
      <c r="A53" s="7"/>
      <c r="B53" s="4" t="s">
        <v>109</v>
      </c>
      <c r="C53" s="4">
        <v>63471</v>
      </c>
      <c r="D53" s="1">
        <v>19</v>
      </c>
      <c r="E53" s="25">
        <v>39234</v>
      </c>
      <c r="F53" s="8" t="s">
        <v>77</v>
      </c>
      <c r="G53" s="8" t="s">
        <v>27</v>
      </c>
      <c r="H53" s="8"/>
      <c r="I53" s="8"/>
      <c r="J53" s="8"/>
      <c r="K53" s="8"/>
      <c r="L53" s="13"/>
      <c r="M53" s="8"/>
      <c r="N53" s="8"/>
      <c r="O53" s="8"/>
      <c r="P53" s="8"/>
      <c r="Q53" s="8"/>
      <c r="R53" s="7"/>
      <c r="S53" s="7"/>
      <c r="T53" s="7"/>
      <c r="U53" s="7"/>
      <c r="V53" s="7"/>
      <c r="W53" s="7"/>
      <c r="X53" s="7"/>
      <c r="Y53" s="7"/>
    </row>
    <row r="54" spans="1:25" ht="15.7">
      <c r="A54" s="7"/>
      <c r="B54" s="4" t="s">
        <v>81</v>
      </c>
      <c r="C54" s="4">
        <v>57297</v>
      </c>
      <c r="D54" s="1">
        <v>24</v>
      </c>
      <c r="E54" s="25">
        <v>37117</v>
      </c>
      <c r="F54" s="8" t="s">
        <v>77</v>
      </c>
      <c r="G54" s="8" t="s">
        <v>29</v>
      </c>
      <c r="H54" s="8"/>
      <c r="I54" s="8"/>
      <c r="J54" s="8"/>
      <c r="K54" s="8"/>
      <c r="L54" s="13"/>
      <c r="M54" s="8"/>
      <c r="N54" s="8"/>
      <c r="O54" s="8"/>
      <c r="P54" s="8"/>
      <c r="Q54" s="8"/>
      <c r="R54" s="7"/>
      <c r="S54" s="7"/>
      <c r="T54" s="7"/>
      <c r="U54" s="7"/>
      <c r="V54" s="7"/>
      <c r="W54" s="7"/>
      <c r="X54" s="7"/>
      <c r="Y54" s="7"/>
    </row>
    <row r="55" spans="1:25" ht="15.7">
      <c r="A55" s="7"/>
      <c r="B55" s="4" t="s">
        <v>103</v>
      </c>
      <c r="C55" s="4">
        <v>120619</v>
      </c>
      <c r="D55" s="1">
        <v>16</v>
      </c>
      <c r="E55" s="25">
        <v>40283</v>
      </c>
      <c r="F55" s="8" t="s">
        <v>77</v>
      </c>
      <c r="G55" s="8" t="s">
        <v>33</v>
      </c>
      <c r="H55" s="8"/>
      <c r="I55" s="8"/>
      <c r="J55" s="8"/>
      <c r="K55" s="8"/>
      <c r="L55" s="13"/>
      <c r="M55" s="8"/>
      <c r="N55" s="8"/>
      <c r="O55" s="8"/>
      <c r="P55" s="8"/>
      <c r="Q55" s="8"/>
      <c r="R55" s="7"/>
      <c r="S55" s="7"/>
      <c r="T55" s="7"/>
      <c r="U55" s="7"/>
      <c r="V55" s="7"/>
      <c r="W55" s="7"/>
      <c r="X55" s="7"/>
      <c r="Y55" s="7"/>
    </row>
    <row r="56" spans="1:25" ht="15.7">
      <c r="A56" s="7"/>
      <c r="B56" s="4" t="s">
        <v>155</v>
      </c>
      <c r="C56" s="4">
        <v>92539</v>
      </c>
      <c r="D56" s="1">
        <v>18</v>
      </c>
      <c r="E56" s="25">
        <v>39466</v>
      </c>
      <c r="F56" s="8" t="s">
        <v>77</v>
      </c>
      <c r="G56" s="8" t="s">
        <v>28</v>
      </c>
      <c r="H56" s="8"/>
      <c r="I56" s="8"/>
      <c r="J56" s="8"/>
      <c r="K56" s="8"/>
      <c r="L56" s="13"/>
      <c r="M56" s="8"/>
      <c r="N56" s="8"/>
      <c r="O56" s="8"/>
      <c r="P56" s="8"/>
      <c r="Q56" s="8"/>
      <c r="R56" s="7"/>
      <c r="S56" s="7"/>
      <c r="T56" s="7"/>
      <c r="U56" s="7"/>
      <c r="V56" s="7"/>
      <c r="W56" s="7"/>
      <c r="X56" s="7"/>
      <c r="Y56" s="7"/>
    </row>
    <row r="57" spans="1:25" ht="15.7">
      <c r="A57" s="7"/>
      <c r="B57" s="4" t="s">
        <v>97</v>
      </c>
      <c r="C57" s="4">
        <v>115280</v>
      </c>
      <c r="D57" s="1">
        <v>16</v>
      </c>
      <c r="E57" s="25">
        <v>40200</v>
      </c>
      <c r="F57" s="8" t="s">
        <v>77</v>
      </c>
      <c r="G57" s="8" t="s">
        <v>33</v>
      </c>
      <c r="H57" s="8"/>
      <c r="I57" s="8"/>
      <c r="J57" s="8"/>
      <c r="K57" s="8"/>
      <c r="L57" s="13"/>
      <c r="M57" s="8"/>
      <c r="N57" s="8"/>
      <c r="O57" s="8"/>
      <c r="P57" s="8"/>
      <c r="Q57" s="8"/>
      <c r="R57" s="7"/>
      <c r="S57" s="7"/>
      <c r="T57" s="7"/>
      <c r="U57" s="7"/>
      <c r="V57" s="7"/>
      <c r="W57" s="7"/>
      <c r="X57" s="7"/>
      <c r="Y57" s="7"/>
    </row>
    <row r="58" spans="1:25" ht="15.7">
      <c r="A58" s="7"/>
      <c r="B58" s="4" t="s">
        <v>88</v>
      </c>
      <c r="C58" s="4">
        <v>75920</v>
      </c>
      <c r="D58" s="1">
        <v>20</v>
      </c>
      <c r="E58" s="21">
        <v>38740</v>
      </c>
      <c r="F58" s="8" t="s">
        <v>77</v>
      </c>
      <c r="G58" s="8" t="s">
        <v>30</v>
      </c>
      <c r="H58" s="8"/>
      <c r="I58" s="8"/>
      <c r="J58" s="8"/>
      <c r="K58" s="8"/>
      <c r="L58" s="13"/>
      <c r="M58" s="8"/>
      <c r="N58" s="8"/>
      <c r="O58" s="8"/>
      <c r="P58" s="8"/>
      <c r="Q58" s="8"/>
      <c r="R58" s="7"/>
      <c r="S58" s="7"/>
      <c r="T58" s="7"/>
      <c r="U58" s="7"/>
      <c r="V58" s="7"/>
      <c r="W58" s="7"/>
      <c r="X58" s="7"/>
      <c r="Y58" s="7"/>
    </row>
    <row r="59" spans="1:25" ht="15.7">
      <c r="A59" s="7"/>
      <c r="B59" s="4" t="s">
        <v>85</v>
      </c>
      <c r="C59" s="4">
        <v>86207</v>
      </c>
      <c r="D59" s="1">
        <v>17</v>
      </c>
      <c r="E59" s="21">
        <v>39948</v>
      </c>
      <c r="F59" s="8" t="s">
        <v>77</v>
      </c>
      <c r="G59" s="8" t="s">
        <v>36</v>
      </c>
      <c r="H59" s="8"/>
      <c r="I59" s="8"/>
      <c r="J59" s="8"/>
      <c r="K59" s="8"/>
      <c r="L59" s="13"/>
      <c r="M59" s="8"/>
      <c r="N59" s="8"/>
      <c r="O59" s="8"/>
      <c r="P59" s="8"/>
      <c r="Q59" s="8"/>
      <c r="R59" s="7"/>
      <c r="S59" s="7"/>
      <c r="T59" s="7"/>
      <c r="U59" s="7"/>
      <c r="V59" s="7"/>
      <c r="W59" s="7"/>
      <c r="X59" s="7"/>
      <c r="Y59" s="7"/>
    </row>
    <row r="60" spans="1:25" ht="15.7">
      <c r="A60" s="7"/>
      <c r="B60" s="4" t="s">
        <v>100</v>
      </c>
      <c r="C60" s="4">
        <v>114230</v>
      </c>
      <c r="D60" s="1">
        <v>14</v>
      </c>
      <c r="E60" s="25">
        <v>40869</v>
      </c>
      <c r="F60" s="8" t="s">
        <v>77</v>
      </c>
      <c r="G60" s="8" t="s">
        <v>41</v>
      </c>
      <c r="H60" s="8"/>
      <c r="I60" s="8"/>
      <c r="J60" s="8"/>
      <c r="K60" s="8"/>
      <c r="L60" s="13"/>
      <c r="M60" s="8"/>
      <c r="N60" s="8"/>
      <c r="O60" s="8"/>
      <c r="P60" s="8"/>
      <c r="Q60" s="8"/>
      <c r="R60" s="7"/>
      <c r="S60" s="7"/>
      <c r="T60" s="7"/>
      <c r="U60" s="7"/>
      <c r="V60" s="7"/>
      <c r="W60" s="7"/>
      <c r="X60" s="7"/>
      <c r="Y60" s="7"/>
    </row>
    <row r="61" spans="1:25" ht="15.7">
      <c r="A61" s="7"/>
      <c r="B61" s="4" t="s">
        <v>107</v>
      </c>
      <c r="C61" s="4">
        <v>92540</v>
      </c>
      <c r="D61" s="1">
        <v>17</v>
      </c>
      <c r="E61" s="25">
        <v>39813</v>
      </c>
      <c r="F61" s="8" t="s">
        <v>77</v>
      </c>
      <c r="G61" s="8" t="s">
        <v>36</v>
      </c>
      <c r="H61" s="8"/>
      <c r="I61" s="8"/>
      <c r="J61" s="8"/>
      <c r="K61" s="8"/>
      <c r="L61" s="13"/>
      <c r="M61" s="8"/>
      <c r="N61" s="8"/>
      <c r="O61" s="8"/>
      <c r="P61" s="8"/>
      <c r="Q61" s="8"/>
      <c r="R61" s="7"/>
      <c r="S61" s="7"/>
      <c r="T61" s="7"/>
      <c r="U61" s="7"/>
      <c r="V61" s="7"/>
      <c r="W61" s="7"/>
      <c r="X61" s="7"/>
      <c r="Y61" s="7"/>
    </row>
    <row r="62" spans="1:25" ht="15.7">
      <c r="A62" s="7"/>
      <c r="B62" s="4" t="s">
        <v>104</v>
      </c>
      <c r="C62" s="4">
        <v>114229</v>
      </c>
      <c r="D62" s="1">
        <v>15</v>
      </c>
      <c r="E62" s="25">
        <v>40571</v>
      </c>
      <c r="F62" s="8" t="s">
        <v>77</v>
      </c>
      <c r="G62" s="8" t="s">
        <v>45</v>
      </c>
      <c r="H62" s="8"/>
      <c r="I62" s="8"/>
      <c r="J62" s="8"/>
      <c r="K62" s="8"/>
      <c r="L62" s="13"/>
      <c r="M62" s="8"/>
      <c r="N62" s="8"/>
      <c r="O62" s="8"/>
      <c r="P62" s="8"/>
      <c r="Q62" s="8"/>
      <c r="R62" s="7"/>
      <c r="S62" s="7"/>
      <c r="T62" s="7"/>
      <c r="U62" s="7"/>
      <c r="V62" s="7"/>
      <c r="W62" s="7"/>
      <c r="X62" s="7"/>
      <c r="Y62" s="7"/>
    </row>
    <row r="63" spans="1:25" ht="15.7">
      <c r="A63" s="7"/>
      <c r="B63" s="4" t="s">
        <v>87</v>
      </c>
      <c r="C63" s="4">
        <v>2441</v>
      </c>
      <c r="D63" s="1">
        <v>39</v>
      </c>
      <c r="E63" s="25">
        <v>31903</v>
      </c>
      <c r="F63" s="8" t="s">
        <v>77</v>
      </c>
      <c r="G63" s="8" t="s">
        <v>156</v>
      </c>
      <c r="H63" s="8"/>
      <c r="I63" s="8"/>
      <c r="J63" s="8"/>
      <c r="K63" s="8"/>
      <c r="L63" s="13"/>
      <c r="M63" s="8"/>
      <c r="N63" s="8"/>
      <c r="O63" s="8"/>
      <c r="P63" s="8"/>
      <c r="Q63" s="8"/>
      <c r="R63" s="7"/>
      <c r="S63" s="7"/>
      <c r="T63" s="7"/>
      <c r="U63" s="7"/>
      <c r="V63" s="7"/>
      <c r="W63" s="7"/>
      <c r="X63" s="7"/>
      <c r="Y63" s="7"/>
    </row>
    <row r="64" spans="1:25" ht="15.7">
      <c r="A64" s="7"/>
      <c r="B64" s="4" t="s">
        <v>86</v>
      </c>
      <c r="C64" s="4">
        <v>83546</v>
      </c>
      <c r="D64" s="1">
        <v>22</v>
      </c>
      <c r="E64" s="25">
        <v>37856</v>
      </c>
      <c r="F64" s="8" t="s">
        <v>77</v>
      </c>
      <c r="G64" s="8" t="s">
        <v>9</v>
      </c>
      <c r="H64" s="8"/>
      <c r="I64" s="8"/>
      <c r="J64" s="8"/>
      <c r="K64" s="8"/>
      <c r="L64" s="13"/>
      <c r="M64" s="8"/>
      <c r="N64" s="8"/>
      <c r="O64" s="8"/>
      <c r="P64" s="8"/>
      <c r="Q64" s="8"/>
      <c r="R64" s="7"/>
      <c r="S64" s="7"/>
      <c r="T64" s="7"/>
      <c r="U64" s="7"/>
      <c r="V64" s="7"/>
      <c r="W64" s="7"/>
      <c r="X64" s="7"/>
      <c r="Y64" s="7"/>
    </row>
    <row r="65" spans="1:25" ht="15.7">
      <c r="A65" s="7"/>
      <c r="B65" s="4" t="s">
        <v>82</v>
      </c>
      <c r="C65" s="4">
        <v>64097</v>
      </c>
      <c r="D65" s="1">
        <v>22</v>
      </c>
      <c r="E65" s="21">
        <v>37810</v>
      </c>
      <c r="F65" s="8" t="s">
        <v>77</v>
      </c>
      <c r="G65" s="8" t="s">
        <v>9</v>
      </c>
      <c r="H65" s="8"/>
      <c r="I65" s="8"/>
      <c r="J65" s="8"/>
      <c r="K65" s="8"/>
      <c r="L65" s="13"/>
      <c r="M65" s="8"/>
      <c r="N65" s="8"/>
      <c r="O65" s="8"/>
      <c r="P65" s="8"/>
      <c r="Q65" s="8"/>
      <c r="R65" s="7"/>
      <c r="S65" s="7"/>
      <c r="T65" s="7"/>
      <c r="U65" s="7"/>
      <c r="V65" s="7"/>
      <c r="W65" s="7"/>
      <c r="X65" s="7"/>
      <c r="Y65" s="7"/>
    </row>
    <row r="66" spans="1:25" ht="15.7">
      <c r="A66" s="7"/>
      <c r="B66" s="4" t="s">
        <v>110</v>
      </c>
      <c r="C66" s="4">
        <v>80233</v>
      </c>
      <c r="D66" s="1">
        <v>35</v>
      </c>
      <c r="E66" s="25">
        <v>33329</v>
      </c>
      <c r="F66" s="8" t="s">
        <v>77</v>
      </c>
      <c r="G66" s="8" t="s">
        <v>156</v>
      </c>
      <c r="H66" s="8"/>
      <c r="I66" s="8"/>
      <c r="J66" s="8"/>
      <c r="K66" s="8"/>
      <c r="L66" s="13"/>
      <c r="M66" s="8"/>
      <c r="N66" s="8"/>
      <c r="O66" s="8"/>
      <c r="P66" s="8"/>
      <c r="Q66" s="8"/>
      <c r="R66" s="7"/>
      <c r="S66" s="7"/>
      <c r="T66" s="7"/>
      <c r="U66" s="7"/>
      <c r="V66" s="7"/>
      <c r="W66" s="7"/>
      <c r="X66" s="7"/>
      <c r="Y66" s="7"/>
    </row>
    <row r="67" spans="1:25" ht="15.7">
      <c r="A67" s="7"/>
      <c r="B67" s="4" t="s">
        <v>101</v>
      </c>
      <c r="C67" s="4">
        <v>114228</v>
      </c>
      <c r="D67" s="1">
        <v>18</v>
      </c>
      <c r="E67" s="21">
        <v>39399</v>
      </c>
      <c r="F67" s="8" t="s">
        <v>77</v>
      </c>
      <c r="G67" s="8" t="s">
        <v>28</v>
      </c>
      <c r="H67" s="8"/>
      <c r="I67" s="8"/>
      <c r="J67" s="8"/>
      <c r="K67" s="8"/>
      <c r="L67" s="13"/>
      <c r="M67" s="8"/>
      <c r="N67" s="8"/>
      <c r="O67" s="8"/>
      <c r="P67" s="8"/>
      <c r="Q67" s="8"/>
      <c r="R67" s="7"/>
      <c r="S67" s="7"/>
      <c r="T67" s="7"/>
      <c r="U67" s="7"/>
      <c r="V67" s="7"/>
      <c r="W67" s="7"/>
      <c r="X67" s="7"/>
      <c r="Y67" s="7"/>
    </row>
    <row r="68" spans="1:25" ht="15.7">
      <c r="A68" s="7"/>
      <c r="B68" s="4" t="s">
        <v>93</v>
      </c>
      <c r="C68" s="4">
        <v>77673</v>
      </c>
      <c r="D68" s="1">
        <v>25</v>
      </c>
      <c r="E68" s="25">
        <v>37043</v>
      </c>
      <c r="F68" s="8" t="s">
        <v>77</v>
      </c>
      <c r="G68" s="8" t="s">
        <v>29</v>
      </c>
      <c r="H68" s="8"/>
      <c r="I68" s="8"/>
      <c r="J68" s="8"/>
      <c r="K68" s="8"/>
      <c r="L68" s="13"/>
      <c r="M68" s="8"/>
      <c r="N68" s="8"/>
      <c r="O68" s="8"/>
      <c r="P68" s="8"/>
      <c r="Q68" s="8"/>
      <c r="R68" s="7"/>
      <c r="S68" s="7"/>
      <c r="T68" s="7"/>
      <c r="U68" s="7"/>
      <c r="V68" s="7"/>
      <c r="W68" s="7"/>
      <c r="X68" s="7"/>
      <c r="Y68" s="7"/>
    </row>
    <row r="69" spans="1:25" ht="15.7">
      <c r="A69" s="7"/>
      <c r="B69" s="4" t="s">
        <v>95</v>
      </c>
      <c r="C69" s="4">
        <v>83543</v>
      </c>
      <c r="D69" s="1">
        <v>21</v>
      </c>
      <c r="E69" s="25">
        <v>38309</v>
      </c>
      <c r="F69" s="8" t="s">
        <v>77</v>
      </c>
      <c r="G69" s="8" t="s">
        <v>34</v>
      </c>
      <c r="H69" s="8"/>
      <c r="I69" s="8"/>
      <c r="J69" s="8"/>
      <c r="K69" s="8"/>
      <c r="L69" s="13"/>
      <c r="M69" s="8"/>
      <c r="N69" s="8"/>
      <c r="O69" s="8"/>
      <c r="P69" s="8"/>
      <c r="Q69" s="8"/>
      <c r="R69" s="7"/>
      <c r="S69" s="7"/>
      <c r="T69" s="7"/>
      <c r="U69" s="7"/>
      <c r="V69" s="7"/>
      <c r="W69" s="7"/>
      <c r="X69" s="7"/>
      <c r="Y69" s="7"/>
    </row>
    <row r="70" spans="1:25" ht="15.7">
      <c r="A70" s="7"/>
      <c r="B70" s="4" t="s">
        <v>83</v>
      </c>
      <c r="C70" s="4">
        <v>89457</v>
      </c>
      <c r="D70" s="1">
        <v>22</v>
      </c>
      <c r="E70" s="25">
        <v>37856</v>
      </c>
      <c r="F70" s="8" t="s">
        <v>77</v>
      </c>
      <c r="G70" s="8" t="s">
        <v>9</v>
      </c>
      <c r="H70" s="8"/>
      <c r="I70" s="8"/>
      <c r="J70" s="8"/>
      <c r="K70" s="8"/>
      <c r="L70" s="13"/>
      <c r="M70" s="8"/>
      <c r="N70" s="8"/>
      <c r="O70" s="8"/>
      <c r="P70" s="8"/>
      <c r="Q70" s="8"/>
      <c r="R70" s="7"/>
      <c r="S70" s="7"/>
      <c r="T70" s="7"/>
      <c r="U70" s="7"/>
      <c r="V70" s="7"/>
      <c r="W70" s="7"/>
      <c r="X70" s="7"/>
      <c r="Y70" s="7"/>
    </row>
    <row r="71" spans="1:25" ht="15.7">
      <c r="A71" s="7"/>
      <c r="B71" s="4" t="s">
        <v>84</v>
      </c>
      <c r="C71" s="4">
        <v>106983</v>
      </c>
      <c r="D71" s="1">
        <v>18</v>
      </c>
      <c r="E71" s="25">
        <v>39275</v>
      </c>
      <c r="F71" s="8" t="s">
        <v>77</v>
      </c>
      <c r="G71" s="8" t="s">
        <v>28</v>
      </c>
      <c r="H71" s="8"/>
      <c r="I71" s="8"/>
      <c r="J71" s="8"/>
      <c r="K71" s="8"/>
      <c r="L71" s="13"/>
      <c r="M71" s="8"/>
      <c r="N71" s="8"/>
      <c r="O71" s="8"/>
      <c r="P71" s="8"/>
      <c r="Q71" s="8"/>
      <c r="R71" s="7"/>
      <c r="S71" s="7"/>
      <c r="T71" s="7"/>
      <c r="U71" s="7"/>
      <c r="V71" s="7"/>
      <c r="W71" s="7"/>
      <c r="X71" s="7"/>
      <c r="Y71" s="7"/>
    </row>
    <row r="72" spans="1:25" ht="15.7">
      <c r="A72" s="7"/>
      <c r="B72" s="4" t="s">
        <v>80</v>
      </c>
      <c r="C72" s="4">
        <v>60820</v>
      </c>
      <c r="D72" s="1">
        <v>26</v>
      </c>
      <c r="E72" s="25">
        <v>36563</v>
      </c>
      <c r="F72" s="8" t="s">
        <v>77</v>
      </c>
      <c r="G72" s="8" t="s">
        <v>29</v>
      </c>
      <c r="H72" s="8"/>
      <c r="I72" s="8"/>
      <c r="J72" s="8"/>
      <c r="K72" s="8"/>
      <c r="L72" s="13"/>
      <c r="M72" s="8"/>
      <c r="N72" s="8"/>
      <c r="O72" s="8"/>
      <c r="P72" s="8"/>
      <c r="Q72" s="8"/>
      <c r="R72" s="7"/>
      <c r="S72" s="7"/>
      <c r="T72" s="7"/>
      <c r="U72" s="7"/>
      <c r="V72" s="7"/>
      <c r="W72" s="7"/>
      <c r="X72" s="7"/>
      <c r="Y72" s="7"/>
    </row>
    <row r="73" spans="1:25" ht="15.7">
      <c r="A73" s="7"/>
      <c r="B73" s="4" t="s">
        <v>106</v>
      </c>
      <c r="C73" s="4">
        <v>92537</v>
      </c>
      <c r="D73" s="1">
        <v>19</v>
      </c>
      <c r="E73" s="21">
        <v>39258</v>
      </c>
      <c r="F73" s="8" t="s">
        <v>77</v>
      </c>
      <c r="G73" s="8" t="s">
        <v>27</v>
      </c>
      <c r="H73" s="8"/>
      <c r="I73" s="8"/>
      <c r="J73" s="8"/>
      <c r="K73" s="8"/>
      <c r="L73" s="13"/>
      <c r="M73" s="8"/>
      <c r="N73" s="8"/>
      <c r="O73" s="8"/>
      <c r="P73" s="8"/>
      <c r="Q73" s="8"/>
      <c r="R73" s="7"/>
      <c r="S73" s="7"/>
      <c r="T73" s="7"/>
      <c r="U73" s="7"/>
      <c r="V73" s="7"/>
      <c r="W73" s="7"/>
      <c r="X73" s="7"/>
      <c r="Y73" s="7"/>
    </row>
    <row r="74" spans="1:25" ht="15.7">
      <c r="A74" s="7"/>
      <c r="B74" s="4" t="s">
        <v>105</v>
      </c>
      <c r="C74" s="4">
        <v>109335</v>
      </c>
      <c r="D74" s="1">
        <v>15</v>
      </c>
      <c r="E74" s="25">
        <v>40672</v>
      </c>
      <c r="F74" s="8" t="s">
        <v>77</v>
      </c>
      <c r="G74" s="8" t="s">
        <v>45</v>
      </c>
      <c r="H74" s="8"/>
      <c r="I74" s="8"/>
      <c r="J74" s="8"/>
      <c r="K74" s="8"/>
      <c r="L74" s="13"/>
      <c r="M74" s="8"/>
      <c r="N74" s="8"/>
      <c r="O74" s="8"/>
      <c r="P74" s="8"/>
      <c r="Q74" s="8"/>
      <c r="R74" s="7"/>
      <c r="S74" s="7"/>
      <c r="T74" s="7"/>
      <c r="U74" s="7"/>
      <c r="V74" s="7"/>
      <c r="W74" s="7"/>
      <c r="X74" s="7"/>
      <c r="Y74" s="7"/>
    </row>
    <row r="75" spans="1:25" ht="15.7">
      <c r="A75" s="7"/>
      <c r="B75" s="4" t="s">
        <v>108</v>
      </c>
      <c r="C75" s="4">
        <v>106063</v>
      </c>
      <c r="D75" s="1">
        <v>12</v>
      </c>
      <c r="E75" s="25">
        <v>41791</v>
      </c>
      <c r="F75" s="8" t="s">
        <v>77</v>
      </c>
      <c r="G75" s="8" t="s">
        <v>11</v>
      </c>
      <c r="H75" s="8"/>
      <c r="I75" s="8"/>
      <c r="J75" s="8"/>
      <c r="K75" s="8"/>
      <c r="L75" s="13"/>
      <c r="M75" s="8"/>
      <c r="N75" s="8"/>
      <c r="O75" s="8"/>
      <c r="P75" s="8"/>
      <c r="Q75" s="8"/>
      <c r="R75" s="7"/>
      <c r="S75" s="7"/>
      <c r="T75" s="7"/>
      <c r="U75" s="7"/>
      <c r="V75" s="7"/>
      <c r="W75" s="7"/>
      <c r="X75" s="7"/>
      <c r="Y75" s="7"/>
    </row>
    <row r="76" spans="1:25" ht="15.7">
      <c r="A76" s="7"/>
      <c r="B76" s="4" t="s">
        <v>91</v>
      </c>
      <c r="C76" s="4">
        <v>83553</v>
      </c>
      <c r="D76" s="1">
        <v>19</v>
      </c>
      <c r="E76" s="25">
        <v>39119</v>
      </c>
      <c r="F76" s="8" t="s">
        <v>77</v>
      </c>
      <c r="G76" s="8" t="s">
        <v>27</v>
      </c>
      <c r="H76" s="8"/>
      <c r="I76" s="8"/>
      <c r="J76" s="8"/>
      <c r="K76" s="8"/>
      <c r="L76" s="13"/>
      <c r="M76" s="8"/>
      <c r="N76" s="8"/>
      <c r="O76" s="8"/>
      <c r="P76" s="8"/>
      <c r="Q76" s="8"/>
      <c r="R76" s="7"/>
      <c r="S76" s="7"/>
      <c r="T76" s="7"/>
      <c r="U76" s="7"/>
      <c r="V76" s="7"/>
      <c r="W76" s="7"/>
      <c r="X76" s="7"/>
      <c r="Y76" s="7"/>
    </row>
    <row r="77" spans="1:25" ht="15.7">
      <c r="A77" s="7"/>
      <c r="B77" s="4" t="s">
        <v>90</v>
      </c>
      <c r="C77" s="4">
        <v>83554</v>
      </c>
      <c r="D77" s="1">
        <v>18</v>
      </c>
      <c r="E77" s="25">
        <v>39324</v>
      </c>
      <c r="F77" s="8" t="s">
        <v>77</v>
      </c>
      <c r="G77" s="8" t="s">
        <v>28</v>
      </c>
      <c r="H77" s="8"/>
      <c r="I77" s="8"/>
      <c r="J77" s="8"/>
      <c r="K77" s="8"/>
      <c r="L77" s="13"/>
      <c r="M77" s="8"/>
      <c r="N77" s="8"/>
      <c r="O77" s="8"/>
      <c r="P77" s="8"/>
      <c r="Q77" s="8"/>
      <c r="R77" s="7"/>
      <c r="S77" s="7"/>
      <c r="T77" s="7"/>
      <c r="U77" s="7"/>
      <c r="V77" s="7"/>
      <c r="W77" s="7"/>
      <c r="X77" s="7"/>
      <c r="Y77" s="7"/>
    </row>
    <row r="78" spans="1:25" ht="15.7">
      <c r="A78" s="7"/>
      <c r="B78" s="4" t="s">
        <v>94</v>
      </c>
      <c r="C78" s="4">
        <v>69314</v>
      </c>
      <c r="D78" s="1">
        <v>29</v>
      </c>
      <c r="E78" s="25">
        <v>35278</v>
      </c>
      <c r="F78" s="8" t="s">
        <v>77</v>
      </c>
      <c r="G78" s="8" t="s">
        <v>29</v>
      </c>
      <c r="H78" s="8"/>
      <c r="I78" s="8"/>
      <c r="J78" s="8"/>
      <c r="K78" s="8"/>
      <c r="L78" s="13"/>
      <c r="M78" s="8"/>
      <c r="N78" s="8"/>
      <c r="O78" s="8"/>
      <c r="P78" s="8"/>
      <c r="Q78" s="8"/>
      <c r="R78" s="7"/>
      <c r="S78" s="7"/>
      <c r="T78" s="7"/>
      <c r="U78" s="7"/>
      <c r="V78" s="7"/>
      <c r="W78" s="7"/>
      <c r="X78" s="7"/>
      <c r="Y78" s="7"/>
    </row>
    <row r="79" spans="1:25" ht="15.7">
      <c r="A79" s="7"/>
      <c r="B79" s="4"/>
      <c r="C79" s="4"/>
      <c r="D79" s="1"/>
      <c r="E79" s="1"/>
      <c r="F79" s="8"/>
      <c r="G79" s="12"/>
      <c r="H79" s="8"/>
      <c r="I79" s="8"/>
      <c r="J79" s="8"/>
      <c r="K79" s="8"/>
      <c r="L79" s="13"/>
      <c r="M79" s="8"/>
      <c r="N79" s="8"/>
      <c r="O79" s="8"/>
      <c r="P79" s="8"/>
      <c r="Q79" s="8"/>
      <c r="R79" s="7"/>
      <c r="S79" s="7"/>
      <c r="T79" s="7"/>
      <c r="U79" s="7"/>
      <c r="V79" s="7"/>
      <c r="W79" s="7"/>
      <c r="X79" s="7"/>
      <c r="Y79" s="7"/>
    </row>
    <row r="80" spans="1:25" ht="15.7">
      <c r="A80" s="7"/>
      <c r="B80" s="4"/>
      <c r="C80" s="4"/>
      <c r="D80" s="1"/>
      <c r="E80" s="1"/>
      <c r="F80" s="8"/>
      <c r="G80" s="12"/>
      <c r="H80" s="8"/>
      <c r="I80" s="8"/>
      <c r="J80" s="8"/>
      <c r="K80" s="8"/>
      <c r="L80" s="13"/>
      <c r="M80" s="8"/>
      <c r="N80" s="8"/>
      <c r="O80" s="8"/>
      <c r="P80" s="8"/>
      <c r="Q80" s="8"/>
      <c r="R80" s="7"/>
      <c r="S80" s="7"/>
      <c r="T80" s="7"/>
      <c r="U80" s="7"/>
      <c r="V80" s="7"/>
      <c r="W80" s="7"/>
      <c r="X80" s="7"/>
      <c r="Y80" s="7"/>
    </row>
    <row r="81" spans="1:25" ht="15.7">
      <c r="A81" s="7"/>
      <c r="B81" s="4"/>
      <c r="C81" s="4"/>
      <c r="D81" s="1"/>
      <c r="E81" s="1"/>
      <c r="F81" s="8"/>
      <c r="G81" s="12"/>
      <c r="H81" s="8"/>
      <c r="I81" s="8"/>
      <c r="J81" s="8"/>
      <c r="K81" s="8"/>
      <c r="L81" s="13"/>
      <c r="M81" s="8"/>
      <c r="N81" s="8"/>
      <c r="O81" s="8"/>
      <c r="P81" s="8"/>
      <c r="Q81" s="8"/>
      <c r="R81" s="7"/>
      <c r="S81" s="7"/>
      <c r="T81" s="7"/>
      <c r="U81" s="7"/>
      <c r="V81" s="7"/>
      <c r="W81" s="7"/>
      <c r="X81" s="7"/>
      <c r="Y81" s="7"/>
    </row>
    <row r="82" spans="1:25" ht="15.7">
      <c r="A82" s="7"/>
      <c r="B82" s="4"/>
      <c r="C82" s="4"/>
      <c r="D82" s="1"/>
      <c r="E82" s="1"/>
      <c r="F82" s="8"/>
      <c r="G82" s="12"/>
      <c r="H82" s="8"/>
      <c r="I82" s="8"/>
      <c r="J82" s="8"/>
      <c r="K82" s="8"/>
      <c r="L82" s="13"/>
      <c r="M82" s="8"/>
      <c r="N82" s="8"/>
      <c r="O82" s="8"/>
      <c r="P82" s="8"/>
      <c r="Q82" s="8"/>
      <c r="R82" s="7"/>
      <c r="S82" s="7"/>
      <c r="T82" s="7"/>
      <c r="U82" s="7"/>
      <c r="V82" s="7"/>
      <c r="W82" s="7"/>
      <c r="X82" s="7"/>
      <c r="Y82" s="7"/>
    </row>
    <row r="83" spans="1:25" ht="15.7">
      <c r="A83" s="7"/>
      <c r="B83" s="4"/>
      <c r="C83" s="4"/>
      <c r="D83" s="1"/>
      <c r="E83" s="1"/>
      <c r="F83" s="8"/>
      <c r="G83" s="12"/>
      <c r="H83" s="8"/>
      <c r="I83" s="8"/>
      <c r="J83" s="8"/>
      <c r="K83" s="8"/>
      <c r="L83" s="13"/>
      <c r="M83" s="8"/>
      <c r="N83" s="8"/>
      <c r="O83" s="8"/>
      <c r="P83" s="8"/>
      <c r="Q83" s="8"/>
      <c r="R83" s="7"/>
      <c r="S83" s="7"/>
      <c r="T83" s="7"/>
      <c r="U83" s="7"/>
      <c r="V83" s="7"/>
      <c r="W83" s="7"/>
      <c r="X83" s="7"/>
      <c r="Y83" s="7"/>
    </row>
    <row r="84" spans="1:25" ht="15.7">
      <c r="A84" s="7"/>
      <c r="B84" s="4"/>
      <c r="C84" s="4"/>
      <c r="D84" s="1"/>
      <c r="E84" s="1"/>
      <c r="F84" s="8"/>
      <c r="G84" s="12"/>
      <c r="H84" s="8"/>
      <c r="I84" s="8"/>
      <c r="J84" s="8"/>
      <c r="K84" s="8"/>
      <c r="L84" s="13"/>
      <c r="M84" s="8"/>
      <c r="N84" s="8"/>
      <c r="O84" s="8"/>
      <c r="P84" s="8"/>
      <c r="Q84" s="8"/>
      <c r="R84" s="7"/>
      <c r="S84" s="7"/>
      <c r="T84" s="7"/>
      <c r="U84" s="7"/>
      <c r="V84" s="7"/>
      <c r="W84" s="7"/>
      <c r="X84" s="7"/>
      <c r="Y84" s="7"/>
    </row>
    <row r="85" spans="1:25" ht="15.7">
      <c r="A85" s="7"/>
      <c r="B85" s="4"/>
      <c r="C85" s="4"/>
      <c r="D85" s="1"/>
      <c r="E85" s="1"/>
      <c r="F85" s="8"/>
      <c r="G85" s="12"/>
      <c r="H85" s="8"/>
      <c r="I85" s="8"/>
      <c r="J85" s="8"/>
      <c r="K85" s="8"/>
      <c r="L85" s="13"/>
      <c r="M85" s="8"/>
      <c r="N85" s="8"/>
      <c r="O85" s="8"/>
      <c r="P85" s="8"/>
      <c r="Q85" s="8"/>
      <c r="R85" s="7"/>
      <c r="S85" s="7"/>
      <c r="T85" s="7"/>
      <c r="U85" s="7"/>
      <c r="V85" s="7"/>
      <c r="W85" s="7"/>
      <c r="X85" s="7"/>
      <c r="Y85" s="7"/>
    </row>
    <row r="86" spans="1:25" ht="15.7">
      <c r="A86" s="7"/>
      <c r="B86" s="4"/>
      <c r="C86" s="4"/>
      <c r="D86" s="1"/>
      <c r="E86" s="1"/>
      <c r="F86" s="8"/>
      <c r="G86" s="12"/>
      <c r="H86" s="8"/>
      <c r="I86" s="8"/>
      <c r="J86" s="8"/>
      <c r="K86" s="8"/>
      <c r="L86" s="13"/>
      <c r="M86" s="8"/>
      <c r="N86" s="8"/>
      <c r="O86" s="8"/>
      <c r="P86" s="8"/>
      <c r="Q86" s="8"/>
      <c r="R86" s="7"/>
      <c r="S86" s="7"/>
      <c r="T86" s="7"/>
      <c r="U86" s="7"/>
      <c r="V86" s="7"/>
      <c r="W86" s="7"/>
      <c r="X86" s="7"/>
      <c r="Y86" s="7"/>
    </row>
    <row r="87" spans="1:25" ht="15.7">
      <c r="A87" s="7"/>
      <c r="B87" s="4"/>
      <c r="C87" s="4"/>
      <c r="D87" s="1"/>
      <c r="E87" s="1"/>
      <c r="F87" s="8"/>
      <c r="G87" s="12"/>
      <c r="H87" s="8"/>
      <c r="I87" s="8"/>
      <c r="J87" s="8"/>
      <c r="K87" s="8"/>
      <c r="L87" s="13"/>
      <c r="M87" s="8"/>
      <c r="N87" s="8"/>
      <c r="O87" s="8"/>
      <c r="P87" s="8"/>
      <c r="Q87" s="8"/>
      <c r="R87" s="7"/>
      <c r="S87" s="7"/>
      <c r="T87" s="7"/>
      <c r="U87" s="7"/>
      <c r="V87" s="7"/>
      <c r="W87" s="7"/>
      <c r="X87" s="7"/>
      <c r="Y87" s="7"/>
    </row>
    <row r="88" spans="1:25" ht="15.7">
      <c r="A88" s="7"/>
      <c r="B88" s="4"/>
      <c r="C88" s="4"/>
      <c r="D88" s="1"/>
      <c r="E88" s="1"/>
      <c r="F88" s="8"/>
      <c r="G88" s="12"/>
      <c r="H88" s="8"/>
      <c r="I88" s="8"/>
      <c r="J88" s="8"/>
      <c r="K88" s="8"/>
      <c r="L88" s="13"/>
      <c r="M88" s="8"/>
      <c r="N88" s="8"/>
      <c r="O88" s="8"/>
      <c r="P88" s="8"/>
      <c r="Q88" s="8"/>
      <c r="R88" s="7"/>
      <c r="S88" s="7"/>
      <c r="T88" s="7"/>
      <c r="U88" s="7"/>
      <c r="V88" s="7"/>
      <c r="W88" s="7"/>
      <c r="X88" s="7"/>
      <c r="Y88" s="7"/>
    </row>
    <row r="89" spans="1:25" ht="15.7">
      <c r="A89" s="7"/>
      <c r="B89" s="4"/>
      <c r="C89" s="4"/>
      <c r="D89" s="1"/>
      <c r="E89" s="1"/>
      <c r="F89" s="8"/>
      <c r="G89" s="12"/>
      <c r="H89" s="8"/>
      <c r="I89" s="8"/>
      <c r="J89" s="8"/>
      <c r="K89" s="8"/>
      <c r="L89" s="13"/>
      <c r="M89" s="8"/>
      <c r="N89" s="8"/>
      <c r="O89" s="8"/>
      <c r="P89" s="8"/>
      <c r="Q89" s="8"/>
      <c r="R89" s="7"/>
      <c r="S89" s="7"/>
      <c r="T89" s="7"/>
      <c r="U89" s="7"/>
      <c r="V89" s="7"/>
      <c r="W89" s="7"/>
      <c r="X89" s="7"/>
      <c r="Y89" s="7"/>
    </row>
    <row r="90" spans="1:25" ht="15.7">
      <c r="A90" s="7"/>
      <c r="B90" s="4"/>
      <c r="C90" s="4"/>
      <c r="D90" s="1"/>
      <c r="E90" s="1"/>
      <c r="F90" s="8"/>
      <c r="G90" s="12"/>
      <c r="H90" s="8"/>
      <c r="I90" s="8"/>
      <c r="J90" s="8"/>
      <c r="K90" s="8"/>
      <c r="L90" s="13"/>
      <c r="M90" s="8"/>
      <c r="N90" s="8"/>
      <c r="O90" s="8"/>
      <c r="P90" s="8"/>
      <c r="Q90" s="8"/>
      <c r="R90" s="7"/>
      <c r="S90" s="7"/>
      <c r="T90" s="7"/>
      <c r="U90" s="7"/>
      <c r="V90" s="7"/>
      <c r="W90" s="7"/>
      <c r="X90" s="7"/>
      <c r="Y90" s="7"/>
    </row>
    <row r="91" spans="1:25" ht="15.7">
      <c r="A91" s="7"/>
      <c r="B91" s="4"/>
      <c r="C91" s="4"/>
      <c r="D91" s="1"/>
      <c r="E91" s="1"/>
      <c r="F91" s="8"/>
      <c r="G91" s="12"/>
      <c r="H91" s="8"/>
      <c r="I91" s="8"/>
      <c r="J91" s="8"/>
      <c r="K91" s="8"/>
      <c r="L91" s="13"/>
      <c r="M91" s="8"/>
      <c r="N91" s="8"/>
      <c r="O91" s="8"/>
      <c r="P91" s="8"/>
      <c r="Q91" s="8"/>
      <c r="R91" s="7"/>
      <c r="S91" s="7"/>
      <c r="T91" s="7"/>
      <c r="U91" s="7"/>
      <c r="V91" s="7"/>
      <c r="W91" s="7"/>
      <c r="X91" s="7"/>
      <c r="Y91" s="7"/>
    </row>
    <row r="92" spans="1:25" ht="12.7">
      <c r="A92" s="7"/>
      <c r="B92" s="7"/>
      <c r="C92" s="7"/>
      <c r="D92" s="7"/>
      <c r="E92" s="1"/>
      <c r="F92" s="8"/>
      <c r="G92" s="12"/>
      <c r="H92" s="8"/>
      <c r="I92" s="8"/>
      <c r="J92" s="8"/>
      <c r="K92" s="8"/>
      <c r="L92" s="13"/>
      <c r="M92" s="8"/>
      <c r="N92" s="8"/>
      <c r="O92" s="8"/>
      <c r="P92" s="8"/>
      <c r="Q92" s="8"/>
      <c r="R92" s="7"/>
      <c r="S92" s="7"/>
      <c r="T92" s="7"/>
      <c r="U92" s="7"/>
      <c r="V92" s="7"/>
      <c r="W92" s="7"/>
      <c r="X92" s="7"/>
      <c r="Y92" s="7"/>
    </row>
    <row r="93" spans="1:25" ht="12.7">
      <c r="A93" s="7"/>
      <c r="B93" s="7"/>
      <c r="C93" s="7"/>
      <c r="D93" s="7"/>
      <c r="E93" s="1"/>
      <c r="F93" s="8"/>
      <c r="G93" s="12"/>
      <c r="H93" s="8"/>
      <c r="I93" s="8"/>
      <c r="J93" s="8"/>
      <c r="K93" s="8"/>
      <c r="L93" s="13"/>
      <c r="M93" s="8"/>
      <c r="N93" s="8"/>
      <c r="O93" s="8"/>
      <c r="P93" s="8"/>
      <c r="Q93" s="8"/>
      <c r="R93" s="7"/>
      <c r="S93" s="7"/>
      <c r="T93" s="7"/>
      <c r="U93" s="7"/>
      <c r="V93" s="7"/>
      <c r="W93" s="7"/>
      <c r="X93" s="7"/>
      <c r="Y93" s="7"/>
    </row>
    <row r="94" spans="1:25" ht="12.7">
      <c r="A94" s="7"/>
      <c r="B94" s="7"/>
      <c r="C94" s="7"/>
      <c r="D94" s="7"/>
      <c r="E94" s="1"/>
      <c r="F94" s="8"/>
      <c r="G94" s="12"/>
      <c r="H94" s="8"/>
      <c r="I94" s="8"/>
      <c r="J94" s="8"/>
      <c r="K94" s="8"/>
      <c r="L94" s="13"/>
      <c r="M94" s="8"/>
      <c r="N94" s="8"/>
      <c r="O94" s="8"/>
      <c r="P94" s="8"/>
      <c r="Q94" s="8"/>
      <c r="R94" s="7"/>
      <c r="S94" s="7"/>
      <c r="T94" s="7"/>
      <c r="U94" s="7"/>
      <c r="V94" s="7"/>
      <c r="W94" s="7"/>
      <c r="X94" s="7"/>
      <c r="Y94" s="7"/>
    </row>
    <row r="95" spans="1:25" ht="12.7">
      <c r="A95" s="7"/>
      <c r="B95" s="7"/>
      <c r="C95" s="7"/>
      <c r="D95" s="7"/>
      <c r="E95" s="1"/>
      <c r="F95" s="8"/>
      <c r="G95" s="12"/>
      <c r="H95" s="8"/>
      <c r="I95" s="8"/>
      <c r="J95" s="8"/>
      <c r="K95" s="8"/>
      <c r="L95" s="13"/>
      <c r="M95" s="8"/>
      <c r="N95" s="8"/>
      <c r="O95" s="8"/>
      <c r="P95" s="8"/>
      <c r="Q95" s="8"/>
      <c r="R95" s="7"/>
      <c r="S95" s="7"/>
      <c r="T95" s="7"/>
      <c r="U95" s="7"/>
      <c r="V95" s="7"/>
      <c r="W95" s="7"/>
      <c r="X95" s="7"/>
      <c r="Y95" s="7"/>
    </row>
    <row r="96" spans="1:25" ht="12.7">
      <c r="A96" s="7"/>
      <c r="B96" s="7"/>
      <c r="C96" s="7"/>
      <c r="D96" s="7"/>
      <c r="E96" s="1"/>
      <c r="F96" s="8"/>
      <c r="G96" s="12"/>
      <c r="H96" s="8"/>
      <c r="I96" s="8"/>
      <c r="J96" s="8"/>
      <c r="K96" s="8"/>
      <c r="L96" s="13"/>
      <c r="M96" s="8"/>
      <c r="N96" s="8"/>
      <c r="O96" s="8"/>
      <c r="P96" s="8"/>
      <c r="Q96" s="8"/>
      <c r="R96" s="7"/>
      <c r="S96" s="7"/>
      <c r="T96" s="7"/>
      <c r="U96" s="7"/>
      <c r="V96" s="7"/>
      <c r="W96" s="7"/>
      <c r="X96" s="7"/>
      <c r="Y96" s="7"/>
    </row>
    <row r="97" spans="1:25" ht="12.7">
      <c r="A97" s="7"/>
      <c r="N97" s="8"/>
      <c r="O97" s="8"/>
      <c r="P97" s="8"/>
      <c r="Q97" s="8"/>
      <c r="R97" s="7"/>
      <c r="S97" s="7"/>
      <c r="T97" s="7"/>
      <c r="U97" s="7"/>
      <c r="V97" s="7"/>
      <c r="W97" s="7"/>
      <c r="X97" s="7"/>
      <c r="Y97" s="7"/>
    </row>
    <row r="98" spans="1:25" ht="12.7">
      <c r="A98" s="7"/>
      <c r="B98" s="7"/>
      <c r="C98" s="7"/>
      <c r="D98" s="7"/>
      <c r="E98" s="1"/>
      <c r="F98" s="8"/>
      <c r="G98" s="12"/>
      <c r="H98" s="8"/>
      <c r="I98" s="8"/>
      <c r="J98" s="8"/>
      <c r="K98" s="8"/>
      <c r="L98" s="13"/>
      <c r="M98" s="8"/>
      <c r="N98" s="8"/>
      <c r="O98" s="8"/>
      <c r="P98" s="8"/>
      <c r="Q98" s="8"/>
      <c r="R98" s="7"/>
      <c r="S98" s="7"/>
      <c r="T98" s="7"/>
      <c r="U98" s="7"/>
      <c r="V98" s="7"/>
      <c r="W98" s="7"/>
      <c r="X98" s="7"/>
      <c r="Y98" s="7"/>
    </row>
    <row r="99" spans="1:25" ht="12.7">
      <c r="A99" s="7"/>
      <c r="B99" s="7"/>
      <c r="C99" s="7"/>
      <c r="D99" s="7"/>
      <c r="E99" s="1"/>
      <c r="F99" s="8"/>
      <c r="G99" s="12"/>
      <c r="H99" s="8"/>
      <c r="I99" s="8"/>
      <c r="J99" s="8"/>
      <c r="K99" s="8"/>
      <c r="L99" s="13"/>
      <c r="M99" s="8"/>
      <c r="N99" s="8"/>
      <c r="O99" s="8"/>
      <c r="P99" s="8"/>
      <c r="Q99" s="8"/>
      <c r="R99" s="7"/>
      <c r="S99" s="7"/>
      <c r="T99" s="7"/>
      <c r="U99" s="7"/>
      <c r="V99" s="7"/>
      <c r="W99" s="7"/>
      <c r="X99" s="7"/>
      <c r="Y99" s="7"/>
    </row>
    <row r="100" spans="1:25" ht="12.7">
      <c r="A100" s="7"/>
      <c r="B100" s="7"/>
      <c r="C100" s="7"/>
      <c r="D100" s="7"/>
      <c r="E100" s="1"/>
      <c r="F100" s="8"/>
      <c r="G100" s="12"/>
      <c r="H100" s="8"/>
      <c r="I100" s="8"/>
      <c r="J100" s="8"/>
      <c r="K100" s="8"/>
      <c r="L100" s="13"/>
      <c r="M100" s="8"/>
      <c r="N100" s="8"/>
      <c r="O100" s="8"/>
      <c r="P100" s="8"/>
      <c r="Q100" s="8"/>
      <c r="R100" s="7"/>
      <c r="S100" s="7"/>
      <c r="T100" s="7"/>
      <c r="U100" s="7"/>
      <c r="V100" s="7"/>
      <c r="W100" s="7"/>
      <c r="X100" s="7"/>
      <c r="Y100" s="7"/>
    </row>
    <row r="101" spans="1:25" ht="12.7">
      <c r="A101" s="7"/>
      <c r="B101" s="7"/>
      <c r="C101" s="7"/>
      <c r="D101" s="7"/>
      <c r="E101" s="1"/>
      <c r="F101" s="8"/>
      <c r="G101" s="12"/>
      <c r="H101" s="8"/>
      <c r="I101" s="8"/>
      <c r="J101" s="8"/>
      <c r="K101" s="8"/>
      <c r="L101" s="13"/>
      <c r="M101" s="8"/>
      <c r="N101" s="8"/>
      <c r="O101" s="8"/>
      <c r="P101" s="8"/>
      <c r="Q101" s="8"/>
      <c r="R101" s="7"/>
      <c r="S101" s="7"/>
      <c r="T101" s="7"/>
      <c r="U101" s="7"/>
      <c r="V101" s="7"/>
      <c r="W101" s="7"/>
      <c r="X101" s="7"/>
      <c r="Y101" s="7"/>
    </row>
    <row r="102" spans="1:25" ht="12.7">
      <c r="A102" s="7"/>
      <c r="B102" s="7"/>
      <c r="C102" s="7"/>
      <c r="D102" s="7"/>
      <c r="E102" s="1"/>
      <c r="F102" s="8"/>
      <c r="G102" s="12"/>
      <c r="H102" s="8"/>
      <c r="I102" s="8"/>
      <c r="J102" s="8"/>
      <c r="K102" s="8"/>
      <c r="L102" s="13"/>
      <c r="M102" s="8"/>
      <c r="N102" s="8"/>
      <c r="O102" s="8"/>
      <c r="P102" s="8"/>
      <c r="Q102" s="8"/>
      <c r="R102" s="7"/>
      <c r="S102" s="7"/>
      <c r="T102" s="7"/>
      <c r="U102" s="7"/>
      <c r="V102" s="7"/>
      <c r="W102" s="7"/>
      <c r="X102" s="7"/>
      <c r="Y102" s="7"/>
    </row>
    <row r="103" spans="1:25" ht="12.7">
      <c r="A103" s="7"/>
      <c r="B103" s="7"/>
      <c r="C103" s="7"/>
      <c r="D103" s="7"/>
      <c r="E103" s="1"/>
      <c r="F103" s="8"/>
      <c r="G103" s="12"/>
      <c r="H103" s="8"/>
      <c r="I103" s="8"/>
      <c r="J103" s="8"/>
      <c r="K103" s="8"/>
      <c r="L103" s="13"/>
      <c r="M103" s="8"/>
      <c r="N103" s="8"/>
      <c r="O103" s="8"/>
      <c r="P103" s="8"/>
      <c r="Q103" s="8"/>
      <c r="R103" s="7"/>
      <c r="S103" s="7"/>
      <c r="T103" s="7"/>
      <c r="U103" s="7"/>
      <c r="V103" s="7"/>
      <c r="W103" s="7"/>
      <c r="X103" s="7"/>
      <c r="Y103" s="7"/>
    </row>
    <row r="104" spans="1:25" ht="12.7">
      <c r="A104" s="7"/>
      <c r="B104" s="7"/>
      <c r="C104" s="7"/>
      <c r="D104" s="7"/>
      <c r="E104" s="1"/>
      <c r="F104" s="8"/>
      <c r="G104" s="12"/>
      <c r="H104" s="8"/>
      <c r="I104" s="8"/>
      <c r="J104" s="8"/>
      <c r="K104" s="8"/>
      <c r="L104" s="13"/>
      <c r="M104" s="8"/>
      <c r="N104" s="8"/>
      <c r="O104" s="8"/>
      <c r="P104" s="8"/>
      <c r="Q104" s="8"/>
      <c r="R104" s="7"/>
      <c r="S104" s="7"/>
      <c r="T104" s="7"/>
      <c r="U104" s="7"/>
      <c r="V104" s="7"/>
      <c r="W104" s="7"/>
      <c r="X104" s="7"/>
      <c r="Y104" s="7"/>
    </row>
    <row r="105" spans="1:25" ht="12.7">
      <c r="A105" s="7"/>
      <c r="B105" s="7"/>
      <c r="C105" s="7"/>
      <c r="D105" s="7"/>
      <c r="E105" s="1"/>
      <c r="F105" s="8"/>
      <c r="G105" s="12"/>
      <c r="H105" s="8"/>
      <c r="I105" s="8"/>
      <c r="J105" s="8"/>
      <c r="K105" s="8"/>
      <c r="L105" s="13"/>
      <c r="M105" s="8"/>
      <c r="N105" s="8"/>
      <c r="O105" s="8"/>
      <c r="P105" s="8"/>
      <c r="Q105" s="8"/>
      <c r="R105" s="7"/>
      <c r="S105" s="7"/>
      <c r="T105" s="7"/>
      <c r="U105" s="7"/>
      <c r="V105" s="7"/>
      <c r="W105" s="7"/>
      <c r="X105" s="7"/>
      <c r="Y105" s="7"/>
    </row>
    <row r="106" spans="1:25" ht="12.7">
      <c r="A106" s="7"/>
      <c r="B106" s="7"/>
      <c r="C106" s="7"/>
      <c r="D106" s="7"/>
      <c r="E106" s="1"/>
      <c r="F106" s="8"/>
      <c r="G106" s="12"/>
      <c r="H106" s="8"/>
      <c r="I106" s="8"/>
      <c r="J106" s="8"/>
      <c r="K106" s="8"/>
      <c r="L106" s="13"/>
      <c r="M106" s="8"/>
      <c r="N106" s="8"/>
      <c r="O106" s="8"/>
      <c r="P106" s="8"/>
      <c r="Q106" s="8"/>
      <c r="R106" s="7"/>
      <c r="S106" s="7"/>
      <c r="T106" s="7"/>
      <c r="U106" s="7"/>
      <c r="V106" s="7"/>
      <c r="W106" s="7"/>
      <c r="X106" s="7"/>
      <c r="Y106" s="7"/>
    </row>
    <row r="107" spans="1:25" ht="12.7">
      <c r="A107" s="7"/>
      <c r="B107" s="7"/>
      <c r="C107" s="7"/>
      <c r="D107" s="7"/>
      <c r="E107" s="1"/>
      <c r="F107" s="8"/>
      <c r="G107" s="12"/>
      <c r="H107" s="8"/>
      <c r="I107" s="8"/>
      <c r="J107" s="8"/>
      <c r="K107" s="8"/>
      <c r="L107" s="13"/>
      <c r="M107" s="8"/>
      <c r="N107" s="8"/>
      <c r="O107" s="8"/>
      <c r="P107" s="8"/>
      <c r="Q107" s="8"/>
      <c r="R107" s="7"/>
      <c r="S107" s="7"/>
      <c r="T107" s="7"/>
      <c r="U107" s="7"/>
      <c r="V107" s="7"/>
      <c r="W107" s="7"/>
      <c r="X107" s="7"/>
      <c r="Y107" s="7"/>
    </row>
    <row r="108" spans="1:25" ht="12.7">
      <c r="A108" s="7"/>
      <c r="B108" s="7"/>
      <c r="C108" s="7"/>
      <c r="D108" s="7"/>
      <c r="E108" s="1"/>
      <c r="F108" s="8"/>
      <c r="G108" s="12"/>
      <c r="H108" s="8"/>
      <c r="I108" s="8"/>
      <c r="J108" s="8"/>
      <c r="K108" s="8"/>
      <c r="L108" s="13"/>
      <c r="M108" s="8"/>
      <c r="N108" s="8"/>
      <c r="O108" s="8"/>
      <c r="P108" s="8"/>
      <c r="Q108" s="8"/>
      <c r="R108" s="7"/>
      <c r="S108" s="7"/>
      <c r="T108" s="7"/>
      <c r="U108" s="7"/>
      <c r="V108" s="7"/>
      <c r="W108" s="7"/>
      <c r="X108" s="7"/>
      <c r="Y108" s="7"/>
    </row>
    <row r="109" spans="1:25" ht="12.7">
      <c r="A109" s="7"/>
      <c r="B109" s="7"/>
      <c r="C109" s="7"/>
      <c r="D109" s="7"/>
      <c r="E109" s="1"/>
      <c r="F109" s="8"/>
      <c r="G109" s="12"/>
      <c r="H109" s="8"/>
      <c r="I109" s="8"/>
      <c r="J109" s="8"/>
      <c r="K109" s="8"/>
      <c r="L109" s="13"/>
      <c r="M109" s="8"/>
      <c r="N109" s="8"/>
      <c r="O109" s="8"/>
      <c r="P109" s="8"/>
      <c r="Q109" s="8"/>
      <c r="R109" s="7"/>
      <c r="S109" s="7"/>
      <c r="T109" s="7"/>
      <c r="U109" s="7"/>
      <c r="V109" s="7"/>
      <c r="W109" s="7"/>
      <c r="X109" s="7"/>
      <c r="Y109" s="7"/>
    </row>
    <row r="110" spans="1:25" ht="12.7">
      <c r="A110" s="7"/>
      <c r="B110" s="7"/>
      <c r="C110" s="7"/>
      <c r="D110" s="7"/>
      <c r="E110" s="1"/>
      <c r="F110" s="8"/>
      <c r="G110" s="12"/>
      <c r="H110" s="8"/>
      <c r="I110" s="8"/>
      <c r="J110" s="8"/>
      <c r="K110" s="8"/>
      <c r="L110" s="13"/>
      <c r="M110" s="8"/>
      <c r="N110" s="8"/>
      <c r="O110" s="8"/>
      <c r="P110" s="8"/>
      <c r="Q110" s="8"/>
      <c r="R110" s="7"/>
      <c r="S110" s="7"/>
      <c r="T110" s="7"/>
      <c r="U110" s="7"/>
      <c r="V110" s="7"/>
      <c r="W110" s="7"/>
      <c r="X110" s="7"/>
      <c r="Y110" s="7"/>
    </row>
    <row r="111" spans="1:25" ht="12.7">
      <c r="A111" s="7"/>
      <c r="B111" s="7"/>
      <c r="C111" s="7"/>
      <c r="D111" s="7"/>
      <c r="E111" s="1"/>
      <c r="F111" s="8"/>
      <c r="G111" s="12"/>
      <c r="H111" s="8"/>
      <c r="I111" s="8"/>
      <c r="J111" s="8"/>
      <c r="K111" s="8"/>
      <c r="L111" s="13"/>
      <c r="M111" s="8"/>
      <c r="N111" s="8"/>
      <c r="O111" s="8"/>
      <c r="P111" s="8"/>
      <c r="Q111" s="8"/>
      <c r="R111" s="7"/>
      <c r="S111" s="7"/>
      <c r="T111" s="7"/>
      <c r="U111" s="7"/>
      <c r="V111" s="7"/>
      <c r="W111" s="7"/>
      <c r="X111" s="7"/>
      <c r="Y111" s="7"/>
    </row>
    <row r="112" spans="1:25" ht="12.7">
      <c r="A112" s="7"/>
      <c r="B112" s="7"/>
      <c r="C112" s="7"/>
      <c r="D112" s="7"/>
      <c r="E112" s="1"/>
      <c r="F112" s="8"/>
      <c r="G112" s="12"/>
      <c r="H112" s="8"/>
      <c r="I112" s="8"/>
      <c r="J112" s="8"/>
      <c r="K112" s="8"/>
      <c r="L112" s="13"/>
      <c r="M112" s="8"/>
      <c r="N112" s="8"/>
      <c r="O112" s="8"/>
      <c r="P112" s="8"/>
      <c r="Q112" s="8"/>
      <c r="R112" s="7"/>
      <c r="S112" s="7"/>
      <c r="T112" s="7"/>
      <c r="U112" s="7"/>
      <c r="V112" s="7"/>
      <c r="W112" s="7"/>
      <c r="X112" s="7"/>
      <c r="Y112" s="7"/>
    </row>
    <row r="113" spans="1:25" ht="12.7">
      <c r="A113" s="7"/>
      <c r="B113" s="7"/>
      <c r="C113" s="7"/>
      <c r="D113" s="7"/>
      <c r="E113" s="8"/>
      <c r="F113" s="8"/>
      <c r="G113" s="12"/>
      <c r="H113" s="8"/>
      <c r="I113" s="8"/>
      <c r="J113" s="8"/>
      <c r="K113" s="8"/>
      <c r="L113" s="13"/>
      <c r="M113" s="8"/>
      <c r="N113" s="8"/>
      <c r="O113" s="8"/>
      <c r="P113" s="8"/>
      <c r="Q113" s="8"/>
      <c r="R113" s="7"/>
      <c r="S113" s="7"/>
      <c r="T113" s="7"/>
      <c r="U113" s="7"/>
      <c r="V113" s="7"/>
      <c r="W113" s="7"/>
      <c r="X113" s="7"/>
      <c r="Y113" s="7"/>
    </row>
    <row r="114" spans="1:25" ht="12.7">
      <c r="A114" s="7"/>
      <c r="B114" s="7"/>
      <c r="C114" s="7"/>
      <c r="D114" s="7"/>
      <c r="E114" s="8"/>
      <c r="F114" s="8"/>
      <c r="G114" s="12"/>
      <c r="H114" s="8"/>
      <c r="I114" s="8"/>
      <c r="J114" s="8"/>
      <c r="K114" s="8"/>
      <c r="L114" s="13"/>
      <c r="M114" s="8"/>
      <c r="N114" s="8"/>
      <c r="O114" s="8"/>
      <c r="P114" s="8"/>
      <c r="Q114" s="8"/>
      <c r="R114" s="7"/>
      <c r="S114" s="7"/>
      <c r="T114" s="7"/>
      <c r="U114" s="7"/>
      <c r="V114" s="7"/>
      <c r="W114" s="7"/>
      <c r="X114" s="7"/>
      <c r="Y114" s="7"/>
    </row>
    <row r="115" spans="1:25" ht="12.7">
      <c r="A115" s="7"/>
      <c r="B115" s="7"/>
      <c r="C115" s="7"/>
      <c r="D115" s="7"/>
      <c r="E115" s="8"/>
      <c r="F115" s="8"/>
      <c r="G115" s="12"/>
      <c r="H115" s="8"/>
      <c r="I115" s="8"/>
      <c r="J115" s="8"/>
      <c r="K115" s="8"/>
      <c r="L115" s="13"/>
      <c r="M115" s="8"/>
      <c r="N115" s="8"/>
      <c r="O115" s="8"/>
      <c r="P115" s="8"/>
      <c r="Q115" s="8"/>
      <c r="R115" s="7"/>
      <c r="S115" s="7"/>
      <c r="T115" s="7"/>
      <c r="U115" s="7"/>
      <c r="V115" s="7"/>
      <c r="W115" s="7"/>
      <c r="X115" s="7"/>
      <c r="Y115" s="7"/>
    </row>
    <row r="116" spans="1:25" ht="12.7">
      <c r="A116" s="7"/>
      <c r="B116" s="7"/>
      <c r="C116" s="7"/>
      <c r="D116" s="7"/>
      <c r="E116" s="8"/>
      <c r="F116" s="8"/>
      <c r="G116" s="12"/>
      <c r="H116" s="8"/>
      <c r="I116" s="8"/>
      <c r="J116" s="8"/>
      <c r="K116" s="8"/>
      <c r="L116" s="13"/>
      <c r="M116" s="8"/>
      <c r="N116" s="8"/>
      <c r="O116" s="8"/>
      <c r="P116" s="8"/>
      <c r="Q116" s="8"/>
      <c r="R116" s="7"/>
      <c r="S116" s="7"/>
      <c r="T116" s="7"/>
      <c r="U116" s="7"/>
      <c r="V116" s="7"/>
      <c r="W116" s="7"/>
      <c r="X116" s="7"/>
      <c r="Y116" s="7"/>
    </row>
    <row r="117" spans="1:25" ht="12.7">
      <c r="A117" s="7"/>
      <c r="B117" s="7"/>
      <c r="C117" s="7"/>
      <c r="D117" s="7"/>
      <c r="E117" s="8"/>
      <c r="F117" s="8"/>
      <c r="G117" s="12"/>
      <c r="H117" s="8"/>
      <c r="I117" s="8"/>
      <c r="J117" s="8"/>
      <c r="K117" s="8"/>
      <c r="L117" s="13"/>
      <c r="M117" s="8"/>
      <c r="N117" s="8"/>
      <c r="O117" s="8"/>
      <c r="P117" s="8"/>
      <c r="Q117" s="8"/>
      <c r="R117" s="7"/>
      <c r="S117" s="7"/>
      <c r="T117" s="7"/>
      <c r="U117" s="7"/>
      <c r="V117" s="7"/>
      <c r="W117" s="7"/>
      <c r="X117" s="7"/>
      <c r="Y117" s="7"/>
    </row>
    <row r="118" spans="1:25" ht="12.7">
      <c r="A118" s="7"/>
      <c r="B118" s="7"/>
      <c r="C118" s="7"/>
      <c r="D118" s="7"/>
      <c r="E118" s="8"/>
      <c r="F118" s="8"/>
      <c r="G118" s="12"/>
      <c r="H118" s="8"/>
      <c r="I118" s="8"/>
      <c r="J118" s="8"/>
      <c r="K118" s="8"/>
      <c r="L118" s="13"/>
      <c r="M118" s="8"/>
      <c r="N118" s="8"/>
      <c r="O118" s="8"/>
      <c r="P118" s="8"/>
      <c r="Q118" s="8"/>
      <c r="R118" s="7"/>
      <c r="S118" s="7"/>
      <c r="T118" s="7"/>
      <c r="U118" s="7"/>
      <c r="V118" s="7"/>
      <c r="W118" s="7"/>
      <c r="X118" s="7"/>
      <c r="Y118" s="7"/>
    </row>
    <row r="119" spans="1:25" ht="12.7">
      <c r="A119" s="7"/>
      <c r="B119" s="7"/>
      <c r="C119" s="7"/>
      <c r="D119" s="7"/>
      <c r="E119" s="8"/>
      <c r="F119" s="8"/>
      <c r="G119" s="12"/>
      <c r="H119" s="8"/>
      <c r="I119" s="8"/>
      <c r="J119" s="8"/>
      <c r="K119" s="8"/>
      <c r="L119" s="13"/>
      <c r="M119" s="8"/>
      <c r="N119" s="8"/>
      <c r="O119" s="8"/>
      <c r="P119" s="8"/>
      <c r="Q119" s="8"/>
      <c r="R119" s="7"/>
      <c r="S119" s="7"/>
      <c r="T119" s="7"/>
      <c r="U119" s="7"/>
      <c r="V119" s="7"/>
      <c r="W119" s="7"/>
      <c r="X119" s="7"/>
      <c r="Y119" s="7"/>
    </row>
    <row r="120" spans="1:25" ht="12.7">
      <c r="A120" s="7"/>
      <c r="B120" s="7"/>
      <c r="C120" s="7"/>
      <c r="D120" s="7"/>
      <c r="E120" s="8"/>
      <c r="F120" s="8"/>
      <c r="G120" s="12"/>
      <c r="H120" s="8"/>
      <c r="I120" s="8"/>
      <c r="J120" s="8"/>
      <c r="K120" s="8"/>
      <c r="L120" s="13"/>
      <c r="M120" s="8"/>
      <c r="N120" s="8"/>
      <c r="O120" s="8"/>
      <c r="P120" s="8"/>
      <c r="Q120" s="8"/>
      <c r="R120" s="7"/>
      <c r="S120" s="7"/>
      <c r="T120" s="7"/>
      <c r="U120" s="7"/>
      <c r="V120" s="7"/>
      <c r="W120" s="7"/>
      <c r="X120" s="7"/>
      <c r="Y120" s="7"/>
    </row>
    <row r="121" spans="1:25" ht="12.7">
      <c r="A121" s="7"/>
      <c r="B121" s="7"/>
      <c r="C121" s="7"/>
      <c r="D121" s="7"/>
      <c r="E121" s="8"/>
      <c r="F121" s="8"/>
      <c r="G121" s="12"/>
      <c r="H121" s="8"/>
      <c r="I121" s="8"/>
      <c r="J121" s="8"/>
      <c r="K121" s="8"/>
      <c r="L121" s="13"/>
      <c r="M121" s="8"/>
      <c r="N121" s="8"/>
      <c r="O121" s="8"/>
      <c r="P121" s="8"/>
      <c r="Q121" s="8"/>
      <c r="R121" s="7"/>
      <c r="S121" s="7"/>
      <c r="T121" s="7"/>
      <c r="U121" s="7"/>
      <c r="V121" s="7"/>
      <c r="W121" s="7"/>
      <c r="X121" s="7"/>
      <c r="Y121" s="7"/>
    </row>
    <row r="122" spans="1:25" ht="12.7">
      <c r="A122" s="7"/>
      <c r="B122" s="7"/>
      <c r="C122" s="7"/>
      <c r="D122" s="7"/>
      <c r="E122" s="8"/>
      <c r="F122" s="8"/>
      <c r="G122" s="12"/>
      <c r="H122" s="8"/>
      <c r="I122" s="8"/>
      <c r="J122" s="8"/>
      <c r="K122" s="8"/>
      <c r="L122" s="13"/>
      <c r="M122" s="8"/>
      <c r="N122" s="8"/>
      <c r="O122" s="8"/>
      <c r="P122" s="8"/>
      <c r="Q122" s="8"/>
      <c r="R122" s="7"/>
      <c r="S122" s="7"/>
      <c r="T122" s="7"/>
      <c r="U122" s="7"/>
      <c r="V122" s="7"/>
      <c r="W122" s="7"/>
      <c r="X122" s="7"/>
      <c r="Y122" s="7"/>
    </row>
    <row r="123" spans="1:25" ht="12.7">
      <c r="A123" s="7"/>
      <c r="B123" s="7"/>
      <c r="C123" s="7"/>
      <c r="D123" s="7"/>
      <c r="E123" s="8"/>
      <c r="F123" s="8"/>
      <c r="G123" s="12"/>
      <c r="H123" s="8"/>
      <c r="I123" s="8"/>
      <c r="J123" s="8"/>
      <c r="K123" s="8"/>
      <c r="L123" s="13"/>
      <c r="M123" s="8"/>
      <c r="N123" s="8"/>
      <c r="O123" s="8"/>
      <c r="P123" s="8"/>
      <c r="Q123" s="8"/>
      <c r="R123" s="7"/>
      <c r="S123" s="7"/>
      <c r="T123" s="7"/>
      <c r="U123" s="7"/>
      <c r="V123" s="7"/>
      <c r="W123" s="7"/>
      <c r="X123" s="7"/>
      <c r="Y123" s="7"/>
    </row>
    <row r="124" spans="1:25" ht="12.7">
      <c r="A124" s="7"/>
      <c r="B124" s="7"/>
      <c r="C124" s="7"/>
      <c r="D124" s="7"/>
      <c r="E124" s="8"/>
      <c r="F124" s="8"/>
      <c r="G124" s="12"/>
      <c r="H124" s="8"/>
      <c r="I124" s="8"/>
      <c r="J124" s="8"/>
      <c r="K124" s="8"/>
      <c r="L124" s="13"/>
      <c r="M124" s="8"/>
      <c r="N124" s="8"/>
      <c r="O124" s="8"/>
      <c r="P124" s="8"/>
      <c r="Q124" s="8"/>
      <c r="R124" s="7"/>
      <c r="S124" s="7"/>
      <c r="T124" s="7"/>
      <c r="U124" s="7"/>
      <c r="V124" s="7"/>
      <c r="W124" s="7"/>
      <c r="X124" s="7"/>
      <c r="Y124" s="7"/>
    </row>
    <row r="125" spans="1:25" ht="12.7">
      <c r="A125" s="7"/>
      <c r="B125" s="7"/>
      <c r="C125" s="7"/>
      <c r="D125" s="7"/>
      <c r="E125" s="8"/>
      <c r="F125" s="8"/>
      <c r="G125" s="12"/>
      <c r="H125" s="8"/>
      <c r="I125" s="8"/>
      <c r="J125" s="8"/>
      <c r="K125" s="8"/>
      <c r="L125" s="13"/>
      <c r="M125" s="8"/>
      <c r="N125" s="8"/>
      <c r="O125" s="8"/>
      <c r="P125" s="8"/>
      <c r="Q125" s="8"/>
      <c r="R125" s="7"/>
      <c r="S125" s="7"/>
      <c r="T125" s="7"/>
      <c r="U125" s="7"/>
      <c r="V125" s="7"/>
      <c r="W125" s="7"/>
      <c r="X125" s="7"/>
      <c r="Y125" s="7"/>
    </row>
    <row r="126" spans="1:25" ht="12.7">
      <c r="A126" s="7"/>
      <c r="B126" s="7"/>
      <c r="C126" s="7"/>
      <c r="D126" s="7"/>
      <c r="E126" s="8"/>
      <c r="F126" s="8"/>
      <c r="G126" s="12"/>
      <c r="H126" s="8"/>
      <c r="I126" s="8"/>
      <c r="J126" s="8"/>
      <c r="K126" s="8"/>
      <c r="L126" s="13"/>
      <c r="M126" s="8"/>
      <c r="N126" s="8"/>
      <c r="O126" s="8"/>
      <c r="P126" s="8"/>
      <c r="Q126" s="8"/>
      <c r="R126" s="7"/>
      <c r="S126" s="7"/>
      <c r="T126" s="7"/>
      <c r="U126" s="7"/>
      <c r="V126" s="7"/>
      <c r="W126" s="7"/>
      <c r="X126" s="7"/>
      <c r="Y126" s="7"/>
    </row>
    <row r="127" spans="1:25" ht="12.7">
      <c r="A127" s="7"/>
      <c r="B127" s="7"/>
      <c r="C127" s="7"/>
      <c r="D127" s="7"/>
      <c r="E127" s="8"/>
      <c r="F127" s="8"/>
      <c r="G127" s="12"/>
      <c r="H127" s="8"/>
      <c r="I127" s="8"/>
      <c r="J127" s="8"/>
      <c r="K127" s="8"/>
      <c r="L127" s="13"/>
      <c r="M127" s="8"/>
      <c r="N127" s="8"/>
      <c r="O127" s="8"/>
      <c r="P127" s="8"/>
      <c r="Q127" s="8"/>
      <c r="R127" s="7"/>
      <c r="S127" s="7"/>
      <c r="T127" s="7"/>
      <c r="U127" s="7"/>
      <c r="V127" s="7"/>
      <c r="W127" s="7"/>
      <c r="X127" s="7"/>
      <c r="Y127" s="7"/>
    </row>
    <row r="128" spans="1:25" ht="12.7">
      <c r="A128" s="7"/>
      <c r="B128" s="7"/>
      <c r="C128" s="7"/>
      <c r="D128" s="7"/>
      <c r="E128" s="8"/>
      <c r="F128" s="8"/>
      <c r="G128" s="12"/>
      <c r="H128" s="8"/>
      <c r="I128" s="8"/>
      <c r="J128" s="8"/>
      <c r="K128" s="8"/>
      <c r="L128" s="13"/>
      <c r="M128" s="8"/>
      <c r="N128" s="8"/>
      <c r="O128" s="8"/>
      <c r="P128" s="8"/>
      <c r="Q128" s="8"/>
      <c r="R128" s="7"/>
      <c r="S128" s="7"/>
      <c r="T128" s="7"/>
      <c r="U128" s="7"/>
      <c r="V128" s="7"/>
      <c r="W128" s="7"/>
      <c r="X128" s="7"/>
      <c r="Y128" s="7"/>
    </row>
    <row r="129" spans="1:25" ht="12.7">
      <c r="A129" s="7"/>
      <c r="B129" s="7"/>
      <c r="C129" s="7"/>
      <c r="D129" s="7"/>
      <c r="E129" s="8"/>
      <c r="F129" s="8"/>
      <c r="G129" s="12"/>
      <c r="H129" s="8"/>
      <c r="I129" s="8"/>
      <c r="J129" s="8"/>
      <c r="K129" s="8"/>
      <c r="L129" s="13"/>
      <c r="M129" s="8"/>
      <c r="N129" s="8"/>
      <c r="O129" s="8"/>
      <c r="P129" s="8"/>
      <c r="Q129" s="8"/>
      <c r="R129" s="7"/>
      <c r="S129" s="7"/>
      <c r="T129" s="7"/>
      <c r="U129" s="7"/>
      <c r="V129" s="7"/>
      <c r="W129" s="7"/>
      <c r="X129" s="7"/>
      <c r="Y129" s="7"/>
    </row>
    <row r="130" spans="1:25" ht="12.7">
      <c r="A130" s="7"/>
      <c r="B130" s="7"/>
      <c r="C130" s="7"/>
      <c r="D130" s="7"/>
      <c r="E130" s="8"/>
      <c r="F130" s="8"/>
      <c r="G130" s="12"/>
      <c r="H130" s="8"/>
      <c r="I130" s="8"/>
      <c r="J130" s="8"/>
      <c r="K130" s="8"/>
      <c r="L130" s="13"/>
      <c r="M130" s="8"/>
      <c r="N130" s="8"/>
      <c r="O130" s="8"/>
      <c r="P130" s="8"/>
      <c r="Q130" s="8"/>
      <c r="R130" s="7"/>
      <c r="S130" s="7"/>
      <c r="T130" s="7"/>
      <c r="U130" s="7"/>
      <c r="V130" s="7"/>
      <c r="W130" s="7"/>
      <c r="X130" s="7"/>
      <c r="Y130" s="7"/>
    </row>
    <row r="131" spans="1:25" ht="12.7">
      <c r="A131" s="7"/>
      <c r="B131" s="7"/>
      <c r="C131" s="7"/>
      <c r="D131" s="7"/>
      <c r="E131" s="8"/>
      <c r="F131" s="8"/>
      <c r="G131" s="12"/>
      <c r="H131" s="8"/>
      <c r="I131" s="8"/>
      <c r="J131" s="8"/>
      <c r="K131" s="8"/>
      <c r="L131" s="13"/>
      <c r="M131" s="8"/>
      <c r="N131" s="8"/>
      <c r="O131" s="8"/>
      <c r="P131" s="8"/>
      <c r="Q131" s="8"/>
      <c r="R131" s="7"/>
      <c r="S131" s="7"/>
      <c r="T131" s="7"/>
      <c r="U131" s="7"/>
      <c r="V131" s="7"/>
      <c r="W131" s="7"/>
      <c r="X131" s="7"/>
      <c r="Y131" s="7"/>
    </row>
    <row r="132" spans="1:25" ht="12.7">
      <c r="A132" s="7"/>
      <c r="B132" s="7"/>
      <c r="C132" s="7"/>
      <c r="D132" s="7"/>
      <c r="E132" s="8"/>
      <c r="F132" s="8"/>
      <c r="G132" s="12"/>
      <c r="H132" s="8"/>
      <c r="I132" s="8"/>
      <c r="J132" s="8"/>
      <c r="K132" s="8"/>
      <c r="L132" s="13"/>
      <c r="M132" s="8"/>
      <c r="N132" s="8"/>
      <c r="O132" s="8"/>
      <c r="P132" s="8"/>
      <c r="Q132" s="8"/>
      <c r="R132" s="7"/>
      <c r="S132" s="7"/>
      <c r="T132" s="7"/>
      <c r="U132" s="7"/>
      <c r="V132" s="7"/>
      <c r="W132" s="7"/>
      <c r="X132" s="7"/>
      <c r="Y132" s="7"/>
    </row>
    <row r="133" spans="1:25" ht="12.7">
      <c r="A133" s="7"/>
      <c r="B133" s="7"/>
      <c r="C133" s="7"/>
      <c r="D133" s="7"/>
      <c r="E133" s="8"/>
      <c r="F133" s="8"/>
      <c r="G133" s="12"/>
      <c r="H133" s="8"/>
      <c r="I133" s="8"/>
      <c r="J133" s="8"/>
      <c r="K133" s="8"/>
      <c r="L133" s="13"/>
      <c r="M133" s="8"/>
      <c r="N133" s="8"/>
      <c r="O133" s="8"/>
      <c r="P133" s="8"/>
      <c r="Q133" s="8"/>
      <c r="R133" s="7"/>
      <c r="S133" s="7"/>
      <c r="T133" s="7"/>
      <c r="U133" s="7"/>
      <c r="V133" s="7"/>
      <c r="W133" s="7"/>
      <c r="X133" s="7"/>
      <c r="Y133" s="7"/>
    </row>
    <row r="134" spans="1:25" ht="12.7">
      <c r="A134" s="7"/>
      <c r="B134" s="7"/>
      <c r="C134" s="7"/>
      <c r="D134" s="7"/>
      <c r="E134" s="8"/>
      <c r="F134" s="8"/>
      <c r="G134" s="12"/>
      <c r="H134" s="8"/>
      <c r="I134" s="8"/>
      <c r="J134" s="8"/>
      <c r="K134" s="8"/>
      <c r="L134" s="13"/>
      <c r="M134" s="8"/>
      <c r="N134" s="8"/>
      <c r="O134" s="8"/>
      <c r="P134" s="8"/>
      <c r="Q134" s="8"/>
      <c r="R134" s="7"/>
      <c r="S134" s="7"/>
      <c r="T134" s="7"/>
      <c r="U134" s="7"/>
      <c r="V134" s="7"/>
      <c r="W134" s="7"/>
      <c r="X134" s="7"/>
      <c r="Y134" s="7"/>
    </row>
    <row r="135" spans="1:25" ht="12.7">
      <c r="A135" s="7"/>
      <c r="B135" s="7"/>
      <c r="C135" s="7"/>
      <c r="D135" s="7"/>
      <c r="E135" s="8"/>
      <c r="F135" s="8"/>
      <c r="G135" s="12"/>
      <c r="H135" s="8"/>
      <c r="I135" s="8"/>
      <c r="J135" s="8"/>
      <c r="K135" s="8"/>
      <c r="L135" s="13"/>
      <c r="M135" s="8"/>
      <c r="N135" s="8"/>
      <c r="O135" s="8"/>
      <c r="P135" s="8"/>
      <c r="Q135" s="8"/>
      <c r="R135" s="7"/>
      <c r="S135" s="7"/>
      <c r="T135" s="7"/>
      <c r="U135" s="7"/>
      <c r="V135" s="7"/>
      <c r="W135" s="7"/>
      <c r="X135" s="7"/>
      <c r="Y135" s="7"/>
    </row>
    <row r="136" spans="1:25" ht="12.7">
      <c r="A136" s="7"/>
      <c r="B136" s="7"/>
      <c r="C136" s="7"/>
      <c r="D136" s="7"/>
      <c r="E136" s="8"/>
      <c r="F136" s="8"/>
      <c r="G136" s="12"/>
      <c r="H136" s="8"/>
      <c r="I136" s="8"/>
      <c r="J136" s="8"/>
      <c r="K136" s="8"/>
      <c r="L136" s="13"/>
      <c r="M136" s="8"/>
      <c r="N136" s="8"/>
      <c r="O136" s="8"/>
      <c r="P136" s="8"/>
      <c r="Q136" s="8"/>
      <c r="R136" s="7"/>
      <c r="S136" s="7"/>
      <c r="T136" s="7"/>
      <c r="U136" s="7"/>
      <c r="V136" s="7"/>
      <c r="W136" s="7"/>
      <c r="X136" s="7"/>
      <c r="Y136" s="7"/>
    </row>
    <row r="137" spans="1:25" ht="12.7">
      <c r="A137" s="7"/>
      <c r="B137" s="7"/>
      <c r="C137" s="7"/>
      <c r="D137" s="7"/>
      <c r="E137" s="8"/>
      <c r="F137" s="8"/>
      <c r="G137" s="12"/>
      <c r="H137" s="8"/>
      <c r="I137" s="8"/>
      <c r="J137" s="8"/>
      <c r="K137" s="8"/>
      <c r="L137" s="13"/>
      <c r="M137" s="8"/>
      <c r="N137" s="8"/>
      <c r="O137" s="8"/>
      <c r="P137" s="8"/>
      <c r="Q137" s="8"/>
      <c r="R137" s="7"/>
      <c r="S137" s="7"/>
      <c r="T137" s="7"/>
      <c r="U137" s="7"/>
      <c r="V137" s="7"/>
      <c r="W137" s="7"/>
      <c r="X137" s="7"/>
      <c r="Y137" s="7"/>
    </row>
    <row r="138" spans="1:25" ht="12.7">
      <c r="A138" s="7"/>
      <c r="B138" s="7"/>
      <c r="C138" s="7"/>
      <c r="D138" s="7"/>
      <c r="E138" s="8"/>
      <c r="F138" s="8"/>
      <c r="G138" s="12"/>
      <c r="H138" s="8"/>
      <c r="I138" s="8"/>
      <c r="J138" s="8"/>
      <c r="K138" s="8"/>
      <c r="L138" s="13"/>
      <c r="M138" s="8"/>
      <c r="N138" s="8"/>
      <c r="O138" s="8"/>
      <c r="P138" s="8"/>
      <c r="Q138" s="8"/>
      <c r="R138" s="7"/>
      <c r="S138" s="7"/>
      <c r="T138" s="7"/>
      <c r="U138" s="7"/>
      <c r="V138" s="7"/>
      <c r="W138" s="7"/>
      <c r="X138" s="7"/>
      <c r="Y138" s="7"/>
    </row>
    <row r="139" spans="1:25" ht="12.7">
      <c r="A139" s="7"/>
      <c r="B139" s="7"/>
      <c r="C139" s="7"/>
      <c r="D139" s="7"/>
      <c r="E139" s="8"/>
      <c r="F139" s="8"/>
      <c r="G139" s="12"/>
      <c r="H139" s="8"/>
      <c r="I139" s="8"/>
      <c r="J139" s="8"/>
      <c r="K139" s="8"/>
      <c r="L139" s="13"/>
      <c r="M139" s="8"/>
      <c r="N139" s="8"/>
      <c r="O139" s="8"/>
      <c r="P139" s="8"/>
      <c r="Q139" s="8"/>
      <c r="R139" s="7"/>
      <c r="S139" s="7"/>
      <c r="T139" s="7"/>
      <c r="U139" s="7"/>
      <c r="V139" s="7"/>
      <c r="W139" s="7"/>
      <c r="X139" s="7"/>
      <c r="Y139" s="7"/>
    </row>
    <row r="140" spans="1:25" ht="12.7">
      <c r="A140" s="7"/>
      <c r="B140" s="7"/>
      <c r="C140" s="7"/>
      <c r="D140" s="7"/>
      <c r="E140" s="8"/>
      <c r="F140" s="8"/>
      <c r="G140" s="12"/>
      <c r="H140" s="8"/>
      <c r="I140" s="8"/>
      <c r="J140" s="8"/>
      <c r="K140" s="8"/>
      <c r="L140" s="13"/>
      <c r="M140" s="8"/>
      <c r="N140" s="8"/>
      <c r="O140" s="8"/>
      <c r="P140" s="8"/>
      <c r="Q140" s="8"/>
      <c r="R140" s="7"/>
      <c r="S140" s="7"/>
      <c r="T140" s="7"/>
      <c r="U140" s="7"/>
      <c r="V140" s="7"/>
      <c r="W140" s="7"/>
      <c r="X140" s="7"/>
      <c r="Y140" s="7"/>
    </row>
    <row r="141" spans="1:25" ht="12.7">
      <c r="A141" s="7"/>
      <c r="B141" s="7"/>
      <c r="C141" s="7"/>
      <c r="D141" s="7"/>
      <c r="E141" s="8"/>
      <c r="F141" s="8"/>
      <c r="G141" s="12"/>
      <c r="H141" s="8"/>
      <c r="I141" s="8"/>
      <c r="J141" s="8"/>
      <c r="K141" s="8"/>
      <c r="L141" s="13"/>
      <c r="M141" s="8"/>
      <c r="N141" s="8"/>
      <c r="O141" s="8"/>
      <c r="P141" s="8"/>
      <c r="Q141" s="8"/>
      <c r="R141" s="7"/>
      <c r="S141" s="7"/>
      <c r="T141" s="7"/>
      <c r="U141" s="7"/>
      <c r="V141" s="7"/>
      <c r="W141" s="7"/>
      <c r="X141" s="7"/>
      <c r="Y141" s="7"/>
    </row>
    <row r="142" spans="1:25" ht="12.7">
      <c r="A142" s="7"/>
      <c r="B142" s="7"/>
      <c r="C142" s="7"/>
      <c r="D142" s="7"/>
      <c r="E142" s="8"/>
      <c r="F142" s="8"/>
      <c r="G142" s="12"/>
      <c r="H142" s="8"/>
      <c r="I142" s="8"/>
      <c r="J142" s="8"/>
      <c r="K142" s="8"/>
      <c r="L142" s="13"/>
      <c r="M142" s="8"/>
      <c r="N142" s="8"/>
      <c r="O142" s="8"/>
      <c r="P142" s="8"/>
      <c r="Q142" s="8"/>
      <c r="R142" s="7"/>
      <c r="S142" s="7"/>
      <c r="T142" s="7"/>
      <c r="U142" s="7"/>
      <c r="V142" s="7"/>
      <c r="W142" s="7"/>
      <c r="X142" s="7"/>
      <c r="Y142" s="7"/>
    </row>
    <row r="143" spans="1:25" ht="12.7">
      <c r="A143" s="7"/>
      <c r="B143" s="7"/>
      <c r="C143" s="7"/>
      <c r="D143" s="7"/>
      <c r="E143" s="8"/>
      <c r="F143" s="8"/>
      <c r="G143" s="12"/>
      <c r="H143" s="8"/>
      <c r="I143" s="8"/>
      <c r="J143" s="8"/>
      <c r="K143" s="8"/>
      <c r="L143" s="13"/>
      <c r="M143" s="8"/>
      <c r="N143" s="8"/>
      <c r="O143" s="8"/>
      <c r="P143" s="8"/>
      <c r="Q143" s="8"/>
      <c r="R143" s="7"/>
      <c r="S143" s="7"/>
      <c r="T143" s="7"/>
      <c r="U143" s="7"/>
      <c r="V143" s="7"/>
      <c r="W143" s="7"/>
      <c r="X143" s="7"/>
      <c r="Y143" s="7"/>
    </row>
    <row r="144" spans="1:25" ht="12.7">
      <c r="A144" s="7"/>
      <c r="B144" s="7"/>
      <c r="C144" s="7"/>
      <c r="D144" s="7"/>
      <c r="E144" s="8"/>
      <c r="F144" s="8"/>
      <c r="G144" s="12"/>
      <c r="H144" s="8"/>
      <c r="I144" s="8"/>
      <c r="J144" s="8"/>
      <c r="K144" s="8"/>
      <c r="L144" s="13"/>
      <c r="M144" s="8"/>
      <c r="N144" s="8"/>
      <c r="O144" s="8"/>
      <c r="P144" s="8"/>
      <c r="Q144" s="8"/>
      <c r="R144" s="7"/>
      <c r="S144" s="7"/>
      <c r="T144" s="7"/>
      <c r="U144" s="7"/>
      <c r="V144" s="7"/>
      <c r="W144" s="7"/>
      <c r="X144" s="7"/>
      <c r="Y144" s="7"/>
    </row>
    <row r="145" spans="1:25" ht="12.7">
      <c r="A145" s="7"/>
      <c r="B145" s="7"/>
      <c r="C145" s="7"/>
      <c r="D145" s="7"/>
      <c r="E145" s="8"/>
      <c r="F145" s="8"/>
      <c r="G145" s="12"/>
      <c r="H145" s="8"/>
      <c r="I145" s="8"/>
      <c r="J145" s="8"/>
      <c r="K145" s="8"/>
      <c r="L145" s="13"/>
      <c r="M145" s="8"/>
      <c r="N145" s="8"/>
      <c r="O145" s="8"/>
      <c r="P145" s="8"/>
      <c r="Q145" s="8"/>
      <c r="R145" s="7"/>
      <c r="S145" s="7"/>
      <c r="T145" s="7"/>
      <c r="U145" s="7"/>
      <c r="V145" s="7"/>
      <c r="W145" s="7"/>
      <c r="X145" s="7"/>
      <c r="Y145" s="7"/>
    </row>
    <row r="146" spans="1:25" ht="12.7">
      <c r="A146" s="7"/>
      <c r="B146" s="7"/>
      <c r="C146" s="7"/>
      <c r="D146" s="7"/>
      <c r="E146" s="8"/>
      <c r="F146" s="8"/>
      <c r="G146" s="12"/>
      <c r="H146" s="8"/>
      <c r="I146" s="8"/>
      <c r="J146" s="8"/>
      <c r="K146" s="8"/>
      <c r="L146" s="13"/>
      <c r="M146" s="8"/>
      <c r="N146" s="8"/>
      <c r="O146" s="8"/>
      <c r="P146" s="8"/>
      <c r="Q146" s="8"/>
      <c r="R146" s="7"/>
      <c r="S146" s="7"/>
      <c r="T146" s="7"/>
      <c r="U146" s="7"/>
      <c r="V146" s="7"/>
      <c r="W146" s="7"/>
      <c r="X146" s="7"/>
      <c r="Y146" s="7"/>
    </row>
    <row r="147" spans="1:25" ht="12.7">
      <c r="A147" s="7"/>
      <c r="B147" s="7"/>
      <c r="C147" s="7"/>
      <c r="D147" s="7"/>
      <c r="E147" s="8"/>
      <c r="F147" s="8"/>
      <c r="G147" s="12"/>
      <c r="H147" s="8"/>
      <c r="I147" s="8"/>
      <c r="J147" s="8"/>
      <c r="K147" s="8"/>
      <c r="L147" s="13"/>
      <c r="M147" s="8"/>
      <c r="N147" s="8"/>
      <c r="O147" s="8"/>
      <c r="P147" s="8"/>
      <c r="Q147" s="8"/>
      <c r="R147" s="7"/>
      <c r="S147" s="7"/>
      <c r="T147" s="7"/>
      <c r="U147" s="7"/>
      <c r="V147" s="7"/>
      <c r="W147" s="7"/>
      <c r="X147" s="7"/>
      <c r="Y147" s="7"/>
    </row>
    <row r="148" spans="1:25" ht="12.7">
      <c r="A148" s="7"/>
      <c r="B148" s="7"/>
      <c r="C148" s="7"/>
      <c r="D148" s="7"/>
      <c r="E148" s="8"/>
      <c r="F148" s="8"/>
      <c r="G148" s="12"/>
      <c r="H148" s="8"/>
      <c r="I148" s="8"/>
      <c r="J148" s="8"/>
      <c r="K148" s="8"/>
      <c r="L148" s="13"/>
      <c r="M148" s="8"/>
      <c r="N148" s="8"/>
      <c r="O148" s="8"/>
      <c r="P148" s="8"/>
      <c r="Q148" s="8"/>
      <c r="R148" s="7"/>
      <c r="S148" s="7"/>
      <c r="T148" s="7"/>
      <c r="U148" s="7"/>
      <c r="V148" s="7"/>
      <c r="W148" s="7"/>
      <c r="X148" s="7"/>
      <c r="Y148" s="7"/>
    </row>
    <row r="149" spans="1:25" ht="12.7">
      <c r="A149" s="7"/>
      <c r="B149" s="7"/>
      <c r="C149" s="7"/>
      <c r="D149" s="7"/>
      <c r="E149" s="8"/>
      <c r="F149" s="8"/>
      <c r="G149" s="12"/>
      <c r="H149" s="8"/>
      <c r="I149" s="8"/>
      <c r="J149" s="8"/>
      <c r="K149" s="8"/>
      <c r="L149" s="13"/>
      <c r="M149" s="8"/>
      <c r="N149" s="8"/>
      <c r="O149" s="8"/>
      <c r="P149" s="8"/>
      <c r="Q149" s="8"/>
      <c r="R149" s="7"/>
      <c r="S149" s="7"/>
      <c r="T149" s="7"/>
      <c r="U149" s="7"/>
      <c r="V149" s="7"/>
      <c r="W149" s="7"/>
      <c r="X149" s="7"/>
      <c r="Y149" s="7"/>
    </row>
    <row r="150" spans="1:25" ht="12.7">
      <c r="A150" s="7"/>
      <c r="B150" s="7"/>
      <c r="C150" s="7"/>
      <c r="D150" s="7"/>
      <c r="E150" s="8"/>
      <c r="F150" s="8"/>
      <c r="G150" s="12"/>
      <c r="H150" s="8"/>
      <c r="I150" s="8"/>
      <c r="J150" s="8"/>
      <c r="K150" s="8"/>
      <c r="L150" s="13"/>
      <c r="M150" s="8"/>
      <c r="N150" s="8"/>
      <c r="O150" s="8"/>
      <c r="P150" s="8"/>
      <c r="Q150" s="8"/>
      <c r="R150" s="7"/>
      <c r="S150" s="7"/>
      <c r="T150" s="7"/>
      <c r="U150" s="7"/>
      <c r="V150" s="7"/>
      <c r="W150" s="7"/>
      <c r="X150" s="7"/>
      <c r="Y150" s="7"/>
    </row>
    <row r="151" spans="1:25" ht="12.7">
      <c r="A151" s="7"/>
      <c r="B151" s="7"/>
      <c r="C151" s="7"/>
      <c r="D151" s="7"/>
      <c r="E151" s="8"/>
      <c r="F151" s="8"/>
      <c r="G151" s="12"/>
      <c r="H151" s="8"/>
      <c r="I151" s="8"/>
      <c r="J151" s="8"/>
      <c r="K151" s="8"/>
      <c r="L151" s="13"/>
      <c r="M151" s="8"/>
      <c r="N151" s="8"/>
      <c r="O151" s="8"/>
      <c r="P151" s="8"/>
      <c r="Q151" s="8"/>
      <c r="R151" s="7"/>
      <c r="S151" s="7"/>
      <c r="T151" s="7"/>
      <c r="U151" s="7"/>
      <c r="V151" s="7"/>
      <c r="W151" s="7"/>
      <c r="X151" s="7"/>
      <c r="Y151" s="7"/>
    </row>
    <row r="152" spans="1:25" ht="12.7">
      <c r="A152" s="7"/>
      <c r="B152" s="7"/>
      <c r="C152" s="7"/>
      <c r="D152" s="7"/>
      <c r="E152" s="8"/>
      <c r="F152" s="8"/>
      <c r="G152" s="12"/>
      <c r="H152" s="8"/>
      <c r="I152" s="8"/>
      <c r="J152" s="8"/>
      <c r="K152" s="8"/>
      <c r="L152" s="13"/>
      <c r="M152" s="8"/>
      <c r="N152" s="8"/>
      <c r="O152" s="8"/>
      <c r="P152" s="8"/>
      <c r="Q152" s="8"/>
      <c r="R152" s="7"/>
      <c r="S152" s="7"/>
      <c r="T152" s="7"/>
      <c r="U152" s="7"/>
      <c r="V152" s="7"/>
      <c r="W152" s="7"/>
      <c r="X152" s="7"/>
      <c r="Y152" s="7"/>
    </row>
    <row r="153" spans="1:25" ht="12.7">
      <c r="A153" s="7"/>
      <c r="B153" s="7"/>
      <c r="C153" s="7"/>
      <c r="D153" s="7"/>
      <c r="E153" s="8"/>
      <c r="F153" s="8"/>
      <c r="G153" s="12"/>
      <c r="H153" s="8"/>
      <c r="I153" s="8"/>
      <c r="J153" s="8"/>
      <c r="K153" s="8"/>
      <c r="L153" s="13"/>
      <c r="M153" s="8"/>
      <c r="N153" s="8"/>
      <c r="O153" s="8"/>
      <c r="P153" s="8"/>
      <c r="Q153" s="8"/>
      <c r="R153" s="7"/>
      <c r="S153" s="7"/>
      <c r="T153" s="7"/>
      <c r="U153" s="7"/>
      <c r="V153" s="7"/>
      <c r="W153" s="7"/>
      <c r="X153" s="7"/>
      <c r="Y153" s="7"/>
    </row>
    <row r="154" spans="1:25" ht="12.7">
      <c r="A154" s="7"/>
      <c r="B154" s="7"/>
      <c r="C154" s="7"/>
      <c r="D154" s="7"/>
      <c r="E154" s="8"/>
      <c r="F154" s="8"/>
      <c r="G154" s="12"/>
      <c r="H154" s="8"/>
      <c r="I154" s="8"/>
      <c r="J154" s="8"/>
      <c r="K154" s="8"/>
      <c r="L154" s="13"/>
      <c r="M154" s="8"/>
      <c r="N154" s="8"/>
      <c r="O154" s="8"/>
      <c r="P154" s="8"/>
      <c r="Q154" s="8"/>
      <c r="R154" s="7"/>
      <c r="S154" s="7"/>
      <c r="T154" s="7"/>
      <c r="U154" s="7"/>
      <c r="V154" s="7"/>
      <c r="W154" s="7"/>
      <c r="X154" s="7"/>
      <c r="Y154" s="7"/>
    </row>
    <row r="155" spans="1:25" ht="12.7">
      <c r="A155" s="7"/>
      <c r="B155" s="7"/>
      <c r="C155" s="7"/>
      <c r="D155" s="7"/>
      <c r="E155" s="8"/>
      <c r="F155" s="8"/>
      <c r="G155" s="12"/>
      <c r="H155" s="8"/>
      <c r="I155" s="8"/>
      <c r="J155" s="8"/>
      <c r="K155" s="8"/>
      <c r="L155" s="13"/>
      <c r="M155" s="8"/>
      <c r="N155" s="8"/>
      <c r="O155" s="8"/>
      <c r="P155" s="8"/>
      <c r="Q155" s="8"/>
      <c r="R155" s="7"/>
      <c r="S155" s="7"/>
      <c r="T155" s="7"/>
      <c r="U155" s="7"/>
      <c r="V155" s="7"/>
      <c r="W155" s="7"/>
      <c r="X155" s="7"/>
      <c r="Y155" s="7"/>
    </row>
    <row r="156" spans="1:25" ht="12.7">
      <c r="A156" s="7"/>
      <c r="B156" s="7"/>
      <c r="C156" s="7"/>
      <c r="D156" s="7"/>
      <c r="E156" s="8"/>
      <c r="F156" s="8"/>
      <c r="G156" s="12"/>
      <c r="H156" s="8"/>
      <c r="I156" s="8"/>
      <c r="J156" s="8"/>
      <c r="K156" s="8"/>
      <c r="L156" s="13"/>
      <c r="M156" s="8"/>
      <c r="N156" s="8"/>
      <c r="O156" s="8"/>
      <c r="P156" s="8"/>
      <c r="Q156" s="8"/>
      <c r="R156" s="7"/>
      <c r="S156" s="7"/>
      <c r="T156" s="7"/>
      <c r="U156" s="7"/>
      <c r="V156" s="7"/>
      <c r="W156" s="7"/>
      <c r="X156" s="7"/>
      <c r="Y156" s="7"/>
    </row>
    <row r="157" spans="1:25" ht="12.7">
      <c r="A157" s="7"/>
      <c r="B157" s="7"/>
      <c r="C157" s="7"/>
      <c r="D157" s="7"/>
      <c r="E157" s="8"/>
      <c r="F157" s="8"/>
      <c r="G157" s="12"/>
      <c r="H157" s="8"/>
      <c r="I157" s="8"/>
      <c r="J157" s="8"/>
      <c r="K157" s="8"/>
      <c r="L157" s="13"/>
      <c r="M157" s="8"/>
      <c r="N157" s="8"/>
      <c r="O157" s="8"/>
      <c r="P157" s="8"/>
      <c r="Q157" s="8"/>
      <c r="R157" s="7"/>
      <c r="S157" s="7"/>
      <c r="T157" s="7"/>
      <c r="U157" s="7"/>
      <c r="V157" s="7"/>
      <c r="W157" s="7"/>
      <c r="X157" s="7"/>
      <c r="Y157" s="7"/>
    </row>
    <row r="158" spans="1:25" ht="12.7">
      <c r="A158" s="7"/>
      <c r="B158" s="7"/>
      <c r="C158" s="7"/>
      <c r="D158" s="7"/>
      <c r="E158" s="8"/>
      <c r="F158" s="8"/>
      <c r="G158" s="12"/>
      <c r="H158" s="8"/>
      <c r="I158" s="8"/>
      <c r="J158" s="8"/>
      <c r="K158" s="8"/>
      <c r="L158" s="13"/>
      <c r="M158" s="8"/>
      <c r="N158" s="8"/>
      <c r="O158" s="8"/>
      <c r="P158" s="8"/>
      <c r="Q158" s="8"/>
      <c r="R158" s="7"/>
      <c r="S158" s="7"/>
      <c r="T158" s="7"/>
      <c r="U158" s="7"/>
      <c r="V158" s="7"/>
      <c r="W158" s="7"/>
      <c r="X158" s="7"/>
      <c r="Y158" s="7"/>
    </row>
    <row r="159" spans="1:25" ht="12.7">
      <c r="A159" s="7"/>
      <c r="B159" s="7"/>
      <c r="C159" s="7"/>
      <c r="D159" s="7"/>
      <c r="E159" s="8"/>
      <c r="F159" s="8"/>
      <c r="G159" s="12"/>
      <c r="H159" s="8"/>
      <c r="I159" s="8"/>
      <c r="J159" s="8"/>
      <c r="K159" s="8"/>
      <c r="L159" s="13"/>
      <c r="M159" s="8"/>
      <c r="N159" s="8"/>
      <c r="O159" s="8"/>
      <c r="P159" s="8"/>
      <c r="Q159" s="8"/>
      <c r="R159" s="7"/>
      <c r="S159" s="7"/>
      <c r="T159" s="7"/>
      <c r="U159" s="7"/>
      <c r="V159" s="7"/>
      <c r="W159" s="7"/>
      <c r="X159" s="7"/>
      <c r="Y159" s="7"/>
    </row>
    <row r="160" spans="1:25" ht="12.7">
      <c r="A160" s="7"/>
      <c r="B160" s="7"/>
      <c r="C160" s="7"/>
      <c r="D160" s="7"/>
      <c r="E160" s="8"/>
      <c r="F160" s="8"/>
      <c r="G160" s="12"/>
      <c r="H160" s="8"/>
      <c r="I160" s="8"/>
      <c r="J160" s="8"/>
      <c r="K160" s="8"/>
      <c r="L160" s="13"/>
      <c r="M160" s="8"/>
      <c r="N160" s="8"/>
      <c r="O160" s="8"/>
      <c r="P160" s="8"/>
      <c r="Q160" s="8"/>
      <c r="R160" s="7"/>
      <c r="S160" s="7"/>
      <c r="T160" s="7"/>
      <c r="U160" s="7"/>
      <c r="V160" s="7"/>
      <c r="W160" s="7"/>
      <c r="X160" s="7"/>
      <c r="Y160" s="7"/>
    </row>
    <row r="161" spans="1:25" ht="12.7">
      <c r="A161" s="7"/>
      <c r="B161" s="7"/>
      <c r="C161" s="7"/>
      <c r="D161" s="7"/>
      <c r="E161" s="8"/>
      <c r="F161" s="8"/>
      <c r="G161" s="12"/>
      <c r="H161" s="8"/>
      <c r="I161" s="8"/>
      <c r="J161" s="8"/>
      <c r="K161" s="8"/>
      <c r="L161" s="13"/>
      <c r="M161" s="8"/>
      <c r="N161" s="8"/>
      <c r="O161" s="8"/>
      <c r="P161" s="8"/>
      <c r="Q161" s="8"/>
      <c r="R161" s="7"/>
      <c r="S161" s="7"/>
      <c r="T161" s="7"/>
      <c r="U161" s="7"/>
      <c r="V161" s="7"/>
      <c r="W161" s="7"/>
      <c r="X161" s="7"/>
      <c r="Y161" s="7"/>
    </row>
    <row r="162" spans="1:25" ht="12.7">
      <c r="A162" s="7"/>
      <c r="B162" s="7"/>
      <c r="C162" s="7"/>
      <c r="D162" s="7"/>
      <c r="E162" s="8"/>
      <c r="F162" s="8"/>
      <c r="G162" s="12"/>
      <c r="H162" s="8"/>
      <c r="I162" s="8"/>
      <c r="J162" s="8"/>
      <c r="K162" s="8"/>
      <c r="L162" s="13"/>
      <c r="M162" s="8"/>
      <c r="N162" s="8"/>
      <c r="O162" s="8"/>
      <c r="P162" s="8"/>
      <c r="Q162" s="8"/>
      <c r="R162" s="7"/>
      <c r="S162" s="7"/>
      <c r="T162" s="7"/>
      <c r="U162" s="7"/>
      <c r="V162" s="7"/>
      <c r="W162" s="7"/>
      <c r="X162" s="7"/>
      <c r="Y162" s="7"/>
    </row>
    <row r="163" spans="1:25" ht="12.7">
      <c r="A163" s="7"/>
      <c r="B163" s="7"/>
      <c r="C163" s="7"/>
      <c r="D163" s="7"/>
      <c r="E163" s="8"/>
      <c r="F163" s="8"/>
      <c r="G163" s="12"/>
      <c r="H163" s="8"/>
      <c r="I163" s="8"/>
      <c r="J163" s="8"/>
      <c r="K163" s="8"/>
      <c r="L163" s="13"/>
      <c r="M163" s="8"/>
      <c r="N163" s="8"/>
      <c r="O163" s="8"/>
      <c r="P163" s="8"/>
      <c r="Q163" s="8"/>
      <c r="R163" s="7"/>
      <c r="S163" s="7"/>
      <c r="T163" s="7"/>
      <c r="U163" s="7"/>
      <c r="V163" s="7"/>
      <c r="W163" s="7"/>
      <c r="X163" s="7"/>
      <c r="Y163" s="7"/>
    </row>
    <row r="164" spans="1:25" ht="12.7">
      <c r="A164" s="7"/>
      <c r="B164" s="7"/>
      <c r="C164" s="7"/>
      <c r="D164" s="7"/>
      <c r="E164" s="8"/>
      <c r="F164" s="8"/>
      <c r="G164" s="12"/>
      <c r="H164" s="8"/>
      <c r="I164" s="8"/>
      <c r="J164" s="8"/>
      <c r="K164" s="8"/>
      <c r="L164" s="13"/>
      <c r="M164" s="8"/>
      <c r="N164" s="8"/>
      <c r="O164" s="8"/>
      <c r="P164" s="8"/>
      <c r="Q164" s="8"/>
      <c r="R164" s="7"/>
      <c r="S164" s="7"/>
      <c r="T164" s="7"/>
      <c r="U164" s="7"/>
      <c r="V164" s="7"/>
      <c r="W164" s="7"/>
      <c r="X164" s="7"/>
      <c r="Y164" s="7"/>
    </row>
    <row r="165" spans="1:25" ht="12.7">
      <c r="A165" s="7"/>
      <c r="B165" s="7"/>
      <c r="C165" s="7"/>
      <c r="D165" s="7"/>
      <c r="E165" s="8"/>
      <c r="F165" s="8"/>
      <c r="G165" s="12"/>
      <c r="H165" s="8"/>
      <c r="I165" s="8"/>
      <c r="J165" s="8"/>
      <c r="K165" s="8"/>
      <c r="L165" s="13"/>
      <c r="M165" s="8"/>
      <c r="N165" s="8"/>
      <c r="O165" s="8"/>
      <c r="P165" s="8"/>
      <c r="Q165" s="8"/>
      <c r="R165" s="7"/>
      <c r="S165" s="7"/>
      <c r="T165" s="7"/>
      <c r="U165" s="7"/>
      <c r="V165" s="7"/>
      <c r="W165" s="7"/>
      <c r="X165" s="7"/>
      <c r="Y165" s="7"/>
    </row>
    <row r="166" spans="1:25" ht="12.7">
      <c r="A166" s="7"/>
      <c r="B166" s="7"/>
      <c r="C166" s="7"/>
      <c r="D166" s="7"/>
      <c r="E166" s="8"/>
      <c r="F166" s="8"/>
      <c r="G166" s="12"/>
      <c r="H166" s="8"/>
      <c r="I166" s="8"/>
      <c r="J166" s="8"/>
      <c r="K166" s="8"/>
      <c r="L166" s="13"/>
      <c r="M166" s="8"/>
      <c r="N166" s="8"/>
      <c r="O166" s="8"/>
      <c r="P166" s="8"/>
      <c r="Q166" s="8"/>
      <c r="R166" s="7"/>
      <c r="S166" s="7"/>
      <c r="T166" s="7"/>
      <c r="U166" s="7"/>
      <c r="V166" s="7"/>
      <c r="W166" s="7"/>
      <c r="X166" s="7"/>
      <c r="Y166" s="7"/>
    </row>
    <row r="167" spans="1:25" ht="12.7">
      <c r="A167" s="7"/>
      <c r="B167" s="7"/>
      <c r="C167" s="7"/>
      <c r="D167" s="7"/>
      <c r="E167" s="8"/>
      <c r="F167" s="8"/>
      <c r="G167" s="12"/>
      <c r="H167" s="8"/>
      <c r="I167" s="8"/>
      <c r="J167" s="8"/>
      <c r="K167" s="8"/>
      <c r="L167" s="13"/>
      <c r="M167" s="8"/>
      <c r="N167" s="8"/>
      <c r="O167" s="8"/>
      <c r="P167" s="8"/>
      <c r="Q167" s="8"/>
      <c r="R167" s="7"/>
      <c r="S167" s="7"/>
      <c r="T167" s="7"/>
      <c r="U167" s="7"/>
      <c r="V167" s="7"/>
      <c r="W167" s="7"/>
      <c r="X167" s="7"/>
      <c r="Y167" s="7"/>
    </row>
    <row r="168" spans="1:25" ht="12.7">
      <c r="A168" s="7"/>
      <c r="B168" s="7"/>
      <c r="C168" s="7"/>
      <c r="D168" s="7"/>
      <c r="E168" s="8"/>
      <c r="F168" s="8"/>
      <c r="G168" s="12"/>
      <c r="H168" s="8"/>
      <c r="I168" s="8"/>
      <c r="J168" s="8"/>
      <c r="K168" s="8"/>
      <c r="L168" s="13"/>
      <c r="M168" s="8"/>
      <c r="N168" s="8"/>
      <c r="O168" s="8"/>
      <c r="P168" s="8"/>
      <c r="Q168" s="8"/>
      <c r="R168" s="7"/>
      <c r="S168" s="7"/>
      <c r="T168" s="7"/>
      <c r="U168" s="7"/>
      <c r="V168" s="7"/>
      <c r="W168" s="7"/>
      <c r="X168" s="7"/>
      <c r="Y168" s="7"/>
    </row>
    <row r="169" spans="1:25" ht="12.7">
      <c r="A169" s="7"/>
      <c r="B169" s="7"/>
      <c r="C169" s="7"/>
      <c r="D169" s="7"/>
      <c r="E169" s="8"/>
      <c r="F169" s="8"/>
      <c r="G169" s="12"/>
      <c r="H169" s="8"/>
      <c r="I169" s="8"/>
      <c r="J169" s="8"/>
      <c r="K169" s="8"/>
      <c r="L169" s="13"/>
      <c r="M169" s="8"/>
      <c r="N169" s="8"/>
      <c r="O169" s="8"/>
      <c r="P169" s="8"/>
      <c r="Q169" s="8"/>
      <c r="R169" s="7"/>
      <c r="S169" s="7"/>
      <c r="T169" s="7"/>
      <c r="U169" s="7"/>
      <c r="V169" s="7"/>
      <c r="W169" s="7"/>
      <c r="X169" s="7"/>
      <c r="Y169" s="7"/>
    </row>
    <row r="170" spans="1:25" ht="12.7">
      <c r="A170" s="7"/>
      <c r="B170" s="7"/>
      <c r="C170" s="7"/>
      <c r="D170" s="7"/>
      <c r="E170" s="8"/>
      <c r="F170" s="8"/>
      <c r="G170" s="12"/>
      <c r="H170" s="8"/>
      <c r="I170" s="8"/>
      <c r="J170" s="8"/>
      <c r="K170" s="8"/>
      <c r="L170" s="13"/>
      <c r="M170" s="8"/>
      <c r="N170" s="8"/>
      <c r="O170" s="8"/>
      <c r="P170" s="8"/>
      <c r="Q170" s="8"/>
      <c r="R170" s="7"/>
      <c r="S170" s="7"/>
      <c r="T170" s="7"/>
      <c r="U170" s="7"/>
      <c r="V170" s="7"/>
      <c r="W170" s="7"/>
      <c r="X170" s="7"/>
      <c r="Y170" s="7"/>
    </row>
    <row r="171" spans="1:25" ht="12.7">
      <c r="A171" s="7"/>
      <c r="B171" s="7"/>
      <c r="C171" s="7"/>
      <c r="D171" s="7"/>
      <c r="E171" s="8"/>
      <c r="F171" s="8"/>
      <c r="G171" s="12"/>
      <c r="H171" s="8"/>
      <c r="I171" s="8"/>
      <c r="J171" s="8"/>
      <c r="K171" s="8"/>
      <c r="L171" s="13"/>
      <c r="M171" s="8"/>
      <c r="N171" s="8"/>
      <c r="O171" s="8"/>
      <c r="P171" s="8"/>
      <c r="Q171" s="8"/>
      <c r="R171" s="7"/>
      <c r="S171" s="7"/>
      <c r="T171" s="7"/>
      <c r="U171" s="7"/>
      <c r="V171" s="7"/>
      <c r="W171" s="7"/>
      <c r="X171" s="7"/>
      <c r="Y171" s="7"/>
    </row>
    <row r="172" spans="1:25" ht="12.7">
      <c r="A172" s="7"/>
      <c r="B172" s="7"/>
      <c r="C172" s="7"/>
      <c r="D172" s="7"/>
      <c r="E172" s="8"/>
      <c r="F172" s="8"/>
      <c r="G172" s="12"/>
      <c r="H172" s="8"/>
      <c r="I172" s="8"/>
      <c r="J172" s="8"/>
      <c r="K172" s="8"/>
      <c r="L172" s="13"/>
      <c r="M172" s="8"/>
      <c r="N172" s="8"/>
      <c r="O172" s="8"/>
      <c r="P172" s="8"/>
      <c r="Q172" s="8"/>
      <c r="R172" s="7"/>
      <c r="S172" s="7"/>
      <c r="T172" s="7"/>
      <c r="U172" s="7"/>
      <c r="V172" s="7"/>
      <c r="W172" s="7"/>
      <c r="X172" s="7"/>
      <c r="Y172" s="7"/>
    </row>
    <row r="173" spans="1:25" ht="12.7">
      <c r="A173" s="7"/>
      <c r="B173" s="7"/>
      <c r="C173" s="7"/>
      <c r="D173" s="7"/>
      <c r="E173" s="8"/>
      <c r="F173" s="8"/>
      <c r="G173" s="12"/>
      <c r="H173" s="8"/>
      <c r="I173" s="8"/>
      <c r="J173" s="8"/>
      <c r="K173" s="8"/>
      <c r="L173" s="13"/>
      <c r="M173" s="8"/>
      <c r="N173" s="8"/>
      <c r="O173" s="8"/>
      <c r="P173" s="8"/>
      <c r="Q173" s="8"/>
      <c r="R173" s="7"/>
      <c r="S173" s="7"/>
      <c r="T173" s="7"/>
      <c r="U173" s="7"/>
      <c r="V173" s="7"/>
      <c r="W173" s="7"/>
      <c r="X173" s="7"/>
      <c r="Y173" s="7"/>
    </row>
    <row r="174" spans="1:25" ht="12.7">
      <c r="A174" s="7"/>
      <c r="B174" s="7"/>
      <c r="C174" s="7"/>
      <c r="D174" s="7"/>
      <c r="E174" s="8"/>
      <c r="F174" s="8"/>
      <c r="G174" s="12"/>
      <c r="H174" s="8"/>
      <c r="I174" s="8"/>
      <c r="J174" s="8"/>
      <c r="K174" s="8"/>
      <c r="L174" s="13"/>
      <c r="M174" s="8"/>
      <c r="N174" s="8"/>
      <c r="O174" s="8"/>
      <c r="P174" s="8"/>
      <c r="Q174" s="8"/>
      <c r="R174" s="7"/>
      <c r="S174" s="7"/>
      <c r="T174" s="7"/>
      <c r="U174" s="7"/>
      <c r="V174" s="7"/>
      <c r="W174" s="7"/>
      <c r="X174" s="7"/>
      <c r="Y174" s="7"/>
    </row>
    <row r="175" spans="1:25" ht="12.7">
      <c r="A175" s="7"/>
      <c r="B175" s="7"/>
      <c r="C175" s="7"/>
      <c r="D175" s="7"/>
      <c r="E175" s="8"/>
      <c r="F175" s="8"/>
      <c r="G175" s="12"/>
      <c r="H175" s="8"/>
      <c r="I175" s="8"/>
      <c r="J175" s="8"/>
      <c r="K175" s="8"/>
      <c r="L175" s="13"/>
      <c r="M175" s="8"/>
      <c r="N175" s="8"/>
      <c r="O175" s="8"/>
      <c r="P175" s="8"/>
      <c r="Q175" s="8"/>
      <c r="R175" s="7"/>
      <c r="S175" s="7"/>
      <c r="T175" s="7"/>
      <c r="U175" s="7"/>
      <c r="V175" s="7"/>
      <c r="W175" s="7"/>
      <c r="X175" s="7"/>
      <c r="Y175" s="7"/>
    </row>
    <row r="176" spans="1:25" ht="12.7">
      <c r="A176" s="7"/>
      <c r="B176" s="7"/>
      <c r="C176" s="7"/>
      <c r="D176" s="7"/>
      <c r="E176" s="8"/>
      <c r="F176" s="8"/>
      <c r="G176" s="12"/>
      <c r="H176" s="8"/>
      <c r="I176" s="8"/>
      <c r="J176" s="8"/>
      <c r="K176" s="8"/>
      <c r="L176" s="13"/>
      <c r="M176" s="8"/>
      <c r="N176" s="8"/>
      <c r="O176" s="8"/>
      <c r="P176" s="8"/>
      <c r="Q176" s="8"/>
      <c r="R176" s="7"/>
      <c r="S176" s="7"/>
      <c r="T176" s="7"/>
      <c r="U176" s="7"/>
      <c r="V176" s="7"/>
      <c r="W176" s="7"/>
      <c r="X176" s="7"/>
      <c r="Y176" s="7"/>
    </row>
    <row r="177" spans="1:25" ht="12.7">
      <c r="A177" s="7"/>
      <c r="B177" s="7"/>
      <c r="C177" s="7"/>
      <c r="D177" s="7"/>
      <c r="E177" s="8"/>
      <c r="F177" s="8"/>
      <c r="G177" s="12"/>
      <c r="H177" s="8"/>
      <c r="I177" s="8"/>
      <c r="J177" s="8"/>
      <c r="K177" s="8"/>
      <c r="L177" s="13"/>
      <c r="M177" s="8"/>
      <c r="N177" s="8"/>
      <c r="O177" s="8"/>
      <c r="P177" s="8"/>
      <c r="Q177" s="8"/>
      <c r="R177" s="7"/>
      <c r="S177" s="7"/>
      <c r="T177" s="7"/>
      <c r="U177" s="7"/>
      <c r="V177" s="7"/>
      <c r="W177" s="7"/>
      <c r="X177" s="7"/>
      <c r="Y177" s="7"/>
    </row>
    <row r="178" spans="1:25" ht="12.7">
      <c r="A178" s="7"/>
      <c r="B178" s="7"/>
      <c r="C178" s="7"/>
      <c r="D178" s="7"/>
      <c r="E178" s="8"/>
      <c r="F178" s="8"/>
      <c r="G178" s="12"/>
      <c r="H178" s="8"/>
      <c r="I178" s="8"/>
      <c r="J178" s="8"/>
      <c r="K178" s="8"/>
      <c r="L178" s="13"/>
      <c r="M178" s="8"/>
      <c r="N178" s="8"/>
      <c r="O178" s="8"/>
      <c r="P178" s="8"/>
      <c r="Q178" s="8"/>
      <c r="R178" s="7"/>
      <c r="S178" s="7"/>
      <c r="T178" s="7"/>
      <c r="U178" s="7"/>
      <c r="V178" s="7"/>
      <c r="W178" s="7"/>
      <c r="X178" s="7"/>
      <c r="Y178" s="7"/>
    </row>
    <row r="179" spans="1:25" ht="12.7">
      <c r="A179" s="7"/>
      <c r="B179" s="7"/>
      <c r="C179" s="7"/>
      <c r="D179" s="7"/>
      <c r="E179" s="8"/>
      <c r="F179" s="8"/>
      <c r="G179" s="12"/>
      <c r="H179" s="8"/>
      <c r="I179" s="8"/>
      <c r="J179" s="8"/>
      <c r="K179" s="8"/>
      <c r="L179" s="13"/>
      <c r="M179" s="8"/>
      <c r="N179" s="8"/>
      <c r="O179" s="8"/>
      <c r="P179" s="8"/>
      <c r="Q179" s="8"/>
      <c r="R179" s="7"/>
      <c r="S179" s="7"/>
      <c r="T179" s="7"/>
      <c r="U179" s="7"/>
      <c r="V179" s="7"/>
      <c r="W179" s="7"/>
      <c r="X179" s="7"/>
      <c r="Y179" s="7"/>
    </row>
    <row r="180" spans="1:25" ht="12.7">
      <c r="A180" s="7"/>
      <c r="B180" s="7"/>
      <c r="C180" s="7"/>
      <c r="D180" s="7"/>
      <c r="E180" s="8"/>
      <c r="F180" s="8"/>
      <c r="G180" s="12"/>
      <c r="H180" s="8"/>
      <c r="I180" s="8"/>
      <c r="J180" s="8"/>
      <c r="K180" s="8"/>
      <c r="L180" s="13"/>
      <c r="M180" s="8"/>
      <c r="N180" s="8"/>
      <c r="O180" s="8"/>
      <c r="P180" s="8"/>
      <c r="Q180" s="8"/>
      <c r="R180" s="7"/>
      <c r="S180" s="7"/>
      <c r="T180" s="7"/>
      <c r="U180" s="7"/>
      <c r="V180" s="7"/>
      <c r="W180" s="7"/>
      <c r="X180" s="7"/>
      <c r="Y180" s="7"/>
    </row>
    <row r="181" spans="1:25" ht="12.7">
      <c r="A181" s="7"/>
      <c r="B181" s="7"/>
      <c r="C181" s="7"/>
      <c r="D181" s="7"/>
      <c r="E181" s="8"/>
      <c r="F181" s="8"/>
      <c r="G181" s="12"/>
      <c r="H181" s="8"/>
      <c r="I181" s="8"/>
      <c r="J181" s="8"/>
      <c r="K181" s="8"/>
      <c r="L181" s="13"/>
      <c r="M181" s="8"/>
      <c r="N181" s="8"/>
      <c r="O181" s="8"/>
      <c r="P181" s="8"/>
      <c r="Q181" s="8"/>
      <c r="R181" s="7"/>
      <c r="S181" s="7"/>
      <c r="T181" s="7"/>
      <c r="U181" s="7"/>
      <c r="V181" s="7"/>
      <c r="W181" s="7"/>
      <c r="X181" s="7"/>
      <c r="Y181" s="7"/>
    </row>
    <row r="182" spans="1:25" ht="12.7">
      <c r="A182" s="7"/>
      <c r="B182" s="7"/>
      <c r="C182" s="7"/>
      <c r="D182" s="7"/>
      <c r="E182" s="8"/>
      <c r="F182" s="8"/>
      <c r="G182" s="12"/>
      <c r="H182" s="8"/>
      <c r="I182" s="8"/>
      <c r="J182" s="8"/>
      <c r="K182" s="8"/>
      <c r="L182" s="13"/>
      <c r="M182" s="8"/>
      <c r="N182" s="8"/>
      <c r="O182" s="8"/>
      <c r="P182" s="8"/>
      <c r="Q182" s="8"/>
      <c r="R182" s="7"/>
      <c r="S182" s="7"/>
      <c r="T182" s="7"/>
      <c r="U182" s="7"/>
      <c r="V182" s="7"/>
      <c r="W182" s="7"/>
      <c r="X182" s="7"/>
      <c r="Y182" s="7"/>
    </row>
    <row r="183" spans="1:25" ht="12.7">
      <c r="A183" s="7"/>
      <c r="B183" s="7"/>
      <c r="C183" s="7"/>
      <c r="D183" s="7"/>
      <c r="E183" s="8"/>
      <c r="F183" s="8"/>
      <c r="G183" s="12"/>
      <c r="H183" s="8"/>
      <c r="I183" s="8"/>
      <c r="J183" s="8"/>
      <c r="K183" s="8"/>
      <c r="L183" s="13"/>
      <c r="M183" s="8"/>
      <c r="N183" s="8"/>
      <c r="O183" s="8"/>
      <c r="P183" s="8"/>
      <c r="Q183" s="8"/>
      <c r="R183" s="7"/>
      <c r="S183" s="7"/>
      <c r="T183" s="7"/>
      <c r="U183" s="7"/>
      <c r="V183" s="7"/>
      <c r="W183" s="7"/>
      <c r="X183" s="7"/>
      <c r="Y183" s="7"/>
    </row>
    <row r="184" spans="1:25" ht="12.7">
      <c r="A184" s="7"/>
      <c r="B184" s="7"/>
      <c r="C184" s="7"/>
      <c r="D184" s="7"/>
      <c r="E184" s="8"/>
      <c r="F184" s="8"/>
      <c r="G184" s="12"/>
      <c r="H184" s="8"/>
      <c r="I184" s="8"/>
      <c r="J184" s="8"/>
      <c r="K184" s="8"/>
      <c r="L184" s="13"/>
      <c r="M184" s="8"/>
      <c r="N184" s="8"/>
      <c r="O184" s="8"/>
      <c r="P184" s="8"/>
      <c r="Q184" s="8"/>
      <c r="R184" s="7"/>
      <c r="S184" s="7"/>
      <c r="T184" s="7"/>
      <c r="U184" s="7"/>
      <c r="V184" s="7"/>
      <c r="W184" s="7"/>
      <c r="X184" s="7"/>
      <c r="Y184" s="7"/>
    </row>
    <row r="185" spans="1:25" ht="12.7">
      <c r="A185" s="7"/>
      <c r="B185" s="7"/>
      <c r="C185" s="7"/>
      <c r="D185" s="7"/>
      <c r="E185" s="8"/>
      <c r="F185" s="8"/>
      <c r="G185" s="12"/>
      <c r="H185" s="8"/>
      <c r="I185" s="8"/>
      <c r="J185" s="8"/>
      <c r="K185" s="8"/>
      <c r="L185" s="13"/>
      <c r="M185" s="8"/>
      <c r="N185" s="8"/>
      <c r="O185" s="8"/>
      <c r="P185" s="8"/>
      <c r="Q185" s="8"/>
      <c r="R185" s="7"/>
      <c r="S185" s="7"/>
      <c r="T185" s="7"/>
      <c r="U185" s="7"/>
      <c r="V185" s="7"/>
      <c r="W185" s="7"/>
      <c r="X185" s="7"/>
      <c r="Y185" s="7"/>
    </row>
    <row r="186" spans="1:25" ht="12.7">
      <c r="A186" s="7"/>
      <c r="B186" s="7"/>
      <c r="C186" s="7"/>
      <c r="D186" s="7"/>
      <c r="E186" s="8"/>
      <c r="F186" s="8"/>
      <c r="G186" s="12"/>
      <c r="H186" s="8"/>
      <c r="I186" s="8"/>
      <c r="J186" s="8"/>
      <c r="K186" s="8"/>
      <c r="L186" s="13"/>
      <c r="M186" s="8"/>
      <c r="N186" s="8"/>
      <c r="O186" s="8"/>
      <c r="P186" s="8"/>
      <c r="Q186" s="8"/>
      <c r="R186" s="7"/>
      <c r="S186" s="7"/>
      <c r="T186" s="7"/>
      <c r="U186" s="7"/>
      <c r="V186" s="7"/>
      <c r="W186" s="7"/>
      <c r="X186" s="7"/>
      <c r="Y186" s="7"/>
    </row>
    <row r="187" spans="1:25" ht="12.7">
      <c r="A187" s="7"/>
      <c r="B187" s="7"/>
      <c r="C187" s="7"/>
      <c r="D187" s="7"/>
      <c r="E187" s="8"/>
      <c r="F187" s="8"/>
      <c r="G187" s="12"/>
      <c r="H187" s="8"/>
      <c r="I187" s="8"/>
      <c r="J187" s="8"/>
      <c r="K187" s="8"/>
      <c r="L187" s="13"/>
      <c r="M187" s="8"/>
      <c r="N187" s="8"/>
      <c r="O187" s="8"/>
      <c r="P187" s="8"/>
      <c r="Q187" s="8"/>
      <c r="R187" s="7"/>
      <c r="S187" s="7"/>
      <c r="T187" s="7"/>
      <c r="U187" s="7"/>
      <c r="V187" s="7"/>
      <c r="W187" s="7"/>
      <c r="X187" s="7"/>
      <c r="Y187" s="7"/>
    </row>
    <row r="188" spans="1:25" ht="12.7">
      <c r="A188" s="7"/>
      <c r="B188" s="7"/>
      <c r="C188" s="7"/>
      <c r="D188" s="7"/>
      <c r="E188" s="8"/>
      <c r="F188" s="8"/>
      <c r="G188" s="12"/>
      <c r="H188" s="8"/>
      <c r="I188" s="8"/>
      <c r="J188" s="8"/>
      <c r="K188" s="8"/>
      <c r="L188" s="13"/>
      <c r="M188" s="8"/>
      <c r="N188" s="8"/>
      <c r="O188" s="8"/>
      <c r="P188" s="8"/>
      <c r="Q188" s="8"/>
      <c r="R188" s="7"/>
      <c r="S188" s="7"/>
      <c r="T188" s="7"/>
      <c r="U188" s="7"/>
      <c r="V188" s="7"/>
      <c r="W188" s="7"/>
      <c r="X188" s="7"/>
      <c r="Y188" s="7"/>
    </row>
    <row r="189" spans="1:25" ht="12.7">
      <c r="A189" s="7"/>
      <c r="B189" s="7"/>
      <c r="C189" s="7"/>
      <c r="D189" s="7"/>
      <c r="E189" s="8"/>
      <c r="F189" s="8"/>
      <c r="G189" s="12"/>
      <c r="H189" s="8"/>
      <c r="I189" s="8"/>
      <c r="J189" s="8"/>
      <c r="K189" s="8"/>
      <c r="L189" s="13"/>
      <c r="M189" s="8"/>
      <c r="N189" s="8"/>
      <c r="O189" s="8"/>
      <c r="P189" s="8"/>
      <c r="Q189" s="8"/>
      <c r="R189" s="7"/>
      <c r="S189" s="7"/>
      <c r="T189" s="7"/>
      <c r="U189" s="7"/>
      <c r="V189" s="7"/>
      <c r="W189" s="7"/>
      <c r="X189" s="7"/>
      <c r="Y189" s="7"/>
    </row>
    <row r="190" spans="1:25" ht="12.7">
      <c r="A190" s="7"/>
      <c r="B190" s="7"/>
      <c r="C190" s="7"/>
      <c r="D190" s="7"/>
      <c r="E190" s="8"/>
      <c r="F190" s="8"/>
      <c r="G190" s="12"/>
      <c r="H190" s="8"/>
      <c r="I190" s="8"/>
      <c r="J190" s="8"/>
      <c r="K190" s="8"/>
      <c r="L190" s="13"/>
      <c r="M190" s="8"/>
      <c r="N190" s="8"/>
      <c r="O190" s="8"/>
      <c r="P190" s="8"/>
      <c r="Q190" s="8"/>
      <c r="R190" s="7"/>
      <c r="S190" s="7"/>
      <c r="T190" s="7"/>
      <c r="U190" s="7"/>
      <c r="V190" s="7"/>
      <c r="W190" s="7"/>
      <c r="X190" s="7"/>
      <c r="Y190" s="7"/>
    </row>
    <row r="191" spans="1:25" ht="12.7">
      <c r="A191" s="7"/>
      <c r="B191" s="7"/>
      <c r="C191" s="7"/>
      <c r="D191" s="7"/>
      <c r="E191" s="8"/>
      <c r="F191" s="8"/>
      <c r="G191" s="12"/>
      <c r="H191" s="8"/>
      <c r="I191" s="8"/>
      <c r="J191" s="8"/>
      <c r="K191" s="8"/>
      <c r="L191" s="13"/>
      <c r="M191" s="8"/>
      <c r="N191" s="8"/>
      <c r="O191" s="8"/>
      <c r="P191" s="8"/>
      <c r="Q191" s="8"/>
      <c r="R191" s="7"/>
      <c r="S191" s="7"/>
      <c r="T191" s="7"/>
      <c r="U191" s="7"/>
      <c r="V191" s="7"/>
      <c r="W191" s="7"/>
      <c r="X191" s="7"/>
      <c r="Y191" s="7"/>
    </row>
    <row r="192" spans="1:25" ht="12.7">
      <c r="A192" s="7"/>
      <c r="B192" s="7"/>
      <c r="C192" s="7"/>
      <c r="D192" s="7"/>
      <c r="E192" s="8"/>
      <c r="F192" s="8"/>
      <c r="G192" s="12"/>
      <c r="H192" s="8"/>
      <c r="I192" s="8"/>
      <c r="J192" s="8"/>
      <c r="K192" s="8"/>
      <c r="L192" s="13"/>
      <c r="M192" s="8"/>
      <c r="N192" s="8"/>
      <c r="O192" s="8"/>
      <c r="P192" s="8"/>
      <c r="Q192" s="8"/>
      <c r="R192" s="7"/>
      <c r="S192" s="7"/>
      <c r="T192" s="7"/>
      <c r="U192" s="7"/>
      <c r="V192" s="7"/>
      <c r="W192" s="7"/>
      <c r="X192" s="7"/>
      <c r="Y192" s="7"/>
    </row>
    <row r="193" spans="1:25" ht="12.7">
      <c r="A193" s="7"/>
      <c r="B193" s="7"/>
      <c r="C193" s="7"/>
      <c r="D193" s="7"/>
      <c r="E193" s="8"/>
      <c r="F193" s="8"/>
      <c r="G193" s="12"/>
      <c r="H193" s="8"/>
      <c r="I193" s="8"/>
      <c r="J193" s="8"/>
      <c r="K193" s="8"/>
      <c r="L193" s="13"/>
      <c r="M193" s="8"/>
      <c r="N193" s="8"/>
      <c r="O193" s="8"/>
      <c r="P193" s="8"/>
      <c r="Q193" s="8"/>
      <c r="R193" s="7"/>
      <c r="S193" s="7"/>
      <c r="T193" s="7"/>
      <c r="U193" s="7"/>
      <c r="V193" s="7"/>
      <c r="W193" s="7"/>
      <c r="X193" s="7"/>
      <c r="Y193" s="7"/>
    </row>
    <row r="194" spans="1:25" ht="12.7">
      <c r="A194" s="7"/>
      <c r="B194" s="7"/>
      <c r="C194" s="7"/>
      <c r="D194" s="7"/>
      <c r="E194" s="8"/>
      <c r="F194" s="8"/>
      <c r="G194" s="12"/>
      <c r="H194" s="8"/>
      <c r="I194" s="8"/>
      <c r="J194" s="8"/>
      <c r="K194" s="8"/>
      <c r="L194" s="13"/>
      <c r="M194" s="8"/>
      <c r="N194" s="8"/>
      <c r="O194" s="8"/>
      <c r="P194" s="8"/>
      <c r="Q194" s="8"/>
      <c r="R194" s="7"/>
      <c r="S194" s="7"/>
      <c r="T194" s="7"/>
      <c r="U194" s="7"/>
      <c r="V194" s="7"/>
      <c r="W194" s="7"/>
      <c r="X194" s="7"/>
      <c r="Y194" s="7"/>
    </row>
    <row r="195" spans="1:25" ht="12.7">
      <c r="A195" s="7"/>
      <c r="B195" s="7"/>
      <c r="C195" s="7"/>
      <c r="D195" s="7"/>
      <c r="E195" s="8"/>
      <c r="F195" s="8"/>
      <c r="G195" s="12"/>
      <c r="H195" s="8"/>
      <c r="I195" s="8"/>
      <c r="J195" s="8"/>
      <c r="K195" s="8"/>
      <c r="L195" s="13"/>
      <c r="M195" s="8"/>
      <c r="N195" s="8"/>
      <c r="O195" s="8"/>
      <c r="P195" s="8"/>
      <c r="Q195" s="8"/>
      <c r="R195" s="7"/>
      <c r="S195" s="7"/>
      <c r="T195" s="7"/>
      <c r="U195" s="7"/>
      <c r="V195" s="7"/>
      <c r="W195" s="7"/>
      <c r="X195" s="7"/>
      <c r="Y195" s="7"/>
    </row>
    <row r="196" spans="1:25" ht="12.7">
      <c r="A196" s="7"/>
      <c r="B196" s="7"/>
      <c r="C196" s="7"/>
      <c r="D196" s="7"/>
      <c r="E196" s="8"/>
      <c r="F196" s="8"/>
      <c r="G196" s="12"/>
      <c r="H196" s="8"/>
      <c r="I196" s="8"/>
      <c r="J196" s="8"/>
      <c r="K196" s="8"/>
      <c r="L196" s="13"/>
      <c r="M196" s="8"/>
      <c r="N196" s="8"/>
      <c r="O196" s="8"/>
      <c r="P196" s="8"/>
      <c r="Q196" s="8"/>
      <c r="R196" s="7"/>
      <c r="S196" s="7"/>
      <c r="T196" s="7"/>
      <c r="U196" s="7"/>
      <c r="V196" s="7"/>
      <c r="W196" s="7"/>
      <c r="X196" s="7"/>
      <c r="Y196" s="7"/>
    </row>
    <row r="197" spans="1:25" ht="12.7">
      <c r="A197" s="7"/>
      <c r="B197" s="7"/>
      <c r="C197" s="7"/>
      <c r="D197" s="7"/>
      <c r="E197" s="8"/>
      <c r="F197" s="8"/>
      <c r="G197" s="12"/>
      <c r="H197" s="8"/>
      <c r="I197" s="8"/>
      <c r="J197" s="8"/>
      <c r="K197" s="8"/>
      <c r="L197" s="13"/>
      <c r="M197" s="8"/>
      <c r="N197" s="8"/>
      <c r="O197" s="8"/>
      <c r="P197" s="8"/>
      <c r="Q197" s="8"/>
      <c r="R197" s="7"/>
      <c r="S197" s="7"/>
      <c r="T197" s="7"/>
      <c r="U197" s="7"/>
      <c r="V197" s="7"/>
      <c r="W197" s="7"/>
      <c r="X197" s="7"/>
      <c r="Y197" s="7"/>
    </row>
    <row r="198" spans="1:25" ht="12.7">
      <c r="A198" s="7"/>
      <c r="B198" s="7"/>
      <c r="C198" s="7"/>
      <c r="D198" s="7"/>
      <c r="E198" s="8"/>
      <c r="F198" s="8"/>
      <c r="G198" s="12"/>
      <c r="H198" s="8"/>
      <c r="I198" s="8"/>
      <c r="J198" s="8"/>
      <c r="K198" s="8"/>
      <c r="L198" s="13"/>
      <c r="M198" s="8"/>
      <c r="N198" s="8"/>
      <c r="O198" s="8"/>
      <c r="P198" s="8"/>
      <c r="Q198" s="8"/>
      <c r="R198" s="7"/>
      <c r="S198" s="7"/>
      <c r="T198" s="7"/>
      <c r="U198" s="7"/>
      <c r="V198" s="7"/>
      <c r="W198" s="7"/>
      <c r="X198" s="7"/>
      <c r="Y198" s="7"/>
    </row>
    <row r="199" spans="1:25" ht="12.7">
      <c r="A199" s="7"/>
      <c r="B199" s="7"/>
      <c r="C199" s="7"/>
      <c r="D199" s="7"/>
      <c r="E199" s="8"/>
      <c r="F199" s="8"/>
      <c r="G199" s="12"/>
      <c r="H199" s="8"/>
      <c r="I199" s="8"/>
      <c r="J199" s="8"/>
      <c r="K199" s="8"/>
      <c r="L199" s="13"/>
      <c r="M199" s="8"/>
      <c r="N199" s="8"/>
      <c r="O199" s="8"/>
      <c r="P199" s="8"/>
      <c r="Q199" s="8"/>
      <c r="R199" s="7"/>
      <c r="S199" s="7"/>
      <c r="T199" s="7"/>
      <c r="U199" s="7"/>
      <c r="V199" s="7"/>
      <c r="W199" s="7"/>
      <c r="X199" s="7"/>
      <c r="Y199" s="7"/>
    </row>
    <row r="200" spans="1:25" ht="12.7">
      <c r="A200" s="7"/>
      <c r="B200" s="7"/>
      <c r="C200" s="7"/>
      <c r="D200" s="7"/>
      <c r="E200" s="8"/>
      <c r="F200" s="8"/>
      <c r="G200" s="12"/>
      <c r="H200" s="8"/>
      <c r="I200" s="8"/>
      <c r="J200" s="8"/>
      <c r="K200" s="8"/>
      <c r="L200" s="13"/>
      <c r="M200" s="8"/>
      <c r="N200" s="8"/>
      <c r="O200" s="8"/>
      <c r="P200" s="8"/>
      <c r="Q200" s="8"/>
      <c r="R200" s="7"/>
      <c r="S200" s="7"/>
      <c r="T200" s="7"/>
      <c r="U200" s="7"/>
      <c r="V200" s="7"/>
      <c r="W200" s="7"/>
      <c r="X200" s="7"/>
      <c r="Y200" s="7"/>
    </row>
    <row r="201" spans="1:25" ht="12.7">
      <c r="A201" s="7"/>
      <c r="B201" s="7"/>
      <c r="C201" s="7"/>
      <c r="D201" s="7"/>
      <c r="E201" s="8"/>
      <c r="F201" s="8"/>
      <c r="G201" s="12"/>
      <c r="H201" s="8"/>
      <c r="I201" s="8"/>
      <c r="J201" s="8"/>
      <c r="K201" s="8"/>
      <c r="L201" s="13"/>
      <c r="M201" s="8"/>
      <c r="N201" s="8"/>
      <c r="O201" s="8"/>
      <c r="P201" s="8"/>
      <c r="Q201" s="8"/>
      <c r="R201" s="7"/>
      <c r="S201" s="7"/>
      <c r="T201" s="7"/>
      <c r="U201" s="7"/>
      <c r="V201" s="7"/>
      <c r="W201" s="7"/>
      <c r="X201" s="7"/>
      <c r="Y201" s="7"/>
    </row>
    <row r="202" spans="1:25" ht="12.7">
      <c r="A202" s="7"/>
      <c r="B202" s="7"/>
      <c r="C202" s="7"/>
      <c r="D202" s="7"/>
      <c r="E202" s="8"/>
      <c r="F202" s="8"/>
      <c r="G202" s="12"/>
      <c r="H202" s="8"/>
      <c r="I202" s="8"/>
      <c r="J202" s="8"/>
      <c r="K202" s="8"/>
      <c r="L202" s="13"/>
      <c r="M202" s="8"/>
      <c r="N202" s="8"/>
      <c r="O202" s="8"/>
      <c r="P202" s="8"/>
      <c r="Q202" s="8"/>
      <c r="R202" s="7"/>
      <c r="S202" s="7"/>
      <c r="T202" s="7"/>
      <c r="U202" s="7"/>
      <c r="V202" s="7"/>
      <c r="W202" s="7"/>
      <c r="X202" s="7"/>
      <c r="Y202" s="7"/>
    </row>
    <row r="203" spans="1:25" ht="12.7">
      <c r="A203" s="7"/>
      <c r="B203" s="7"/>
      <c r="C203" s="7"/>
      <c r="D203" s="7"/>
      <c r="E203" s="8"/>
      <c r="F203" s="8"/>
      <c r="G203" s="12"/>
      <c r="H203" s="8"/>
      <c r="I203" s="8"/>
      <c r="J203" s="8"/>
      <c r="K203" s="8"/>
      <c r="L203" s="13"/>
      <c r="M203" s="8"/>
      <c r="N203" s="8"/>
      <c r="O203" s="8"/>
      <c r="P203" s="8"/>
      <c r="Q203" s="8"/>
      <c r="R203" s="7"/>
      <c r="S203" s="7"/>
      <c r="T203" s="7"/>
      <c r="U203" s="7"/>
      <c r="V203" s="7"/>
      <c r="W203" s="7"/>
      <c r="X203" s="7"/>
      <c r="Y203" s="7"/>
    </row>
    <row r="204" spans="1:25" ht="12.7">
      <c r="A204" s="7"/>
      <c r="B204" s="7"/>
      <c r="C204" s="7"/>
      <c r="D204" s="7"/>
      <c r="E204" s="8"/>
      <c r="F204" s="8"/>
      <c r="G204" s="12"/>
      <c r="H204" s="8"/>
      <c r="I204" s="8"/>
      <c r="J204" s="8"/>
      <c r="K204" s="8"/>
      <c r="L204" s="13"/>
      <c r="M204" s="8"/>
      <c r="N204" s="8"/>
      <c r="O204" s="8"/>
      <c r="P204" s="8"/>
      <c r="Q204" s="8"/>
      <c r="R204" s="7"/>
      <c r="S204" s="7"/>
      <c r="T204" s="7"/>
      <c r="U204" s="7"/>
      <c r="V204" s="7"/>
      <c r="W204" s="7"/>
      <c r="X204" s="7"/>
      <c r="Y204" s="7"/>
    </row>
    <row r="205" spans="1:25" ht="12.7">
      <c r="A205" s="7"/>
      <c r="B205" s="7"/>
      <c r="C205" s="7"/>
      <c r="D205" s="7"/>
      <c r="E205" s="8"/>
      <c r="F205" s="8"/>
      <c r="G205" s="12"/>
      <c r="H205" s="8"/>
      <c r="I205" s="8"/>
      <c r="J205" s="8"/>
      <c r="K205" s="8"/>
      <c r="L205" s="13"/>
      <c r="M205" s="8"/>
      <c r="N205" s="8"/>
      <c r="O205" s="8"/>
      <c r="P205" s="8"/>
      <c r="Q205" s="8"/>
      <c r="R205" s="7"/>
      <c r="S205" s="7"/>
      <c r="T205" s="7"/>
      <c r="U205" s="7"/>
      <c r="V205" s="7"/>
      <c r="W205" s="7"/>
      <c r="X205" s="7"/>
      <c r="Y205" s="7"/>
    </row>
    <row r="206" spans="1:25" ht="12.7">
      <c r="A206" s="7"/>
      <c r="B206" s="7"/>
      <c r="C206" s="7"/>
      <c r="D206" s="7"/>
      <c r="E206" s="8"/>
      <c r="F206" s="8"/>
      <c r="G206" s="12"/>
      <c r="H206" s="8"/>
      <c r="I206" s="8"/>
      <c r="J206" s="8"/>
      <c r="K206" s="8"/>
      <c r="L206" s="13"/>
      <c r="M206" s="8"/>
      <c r="N206" s="8"/>
      <c r="O206" s="8"/>
      <c r="P206" s="8"/>
      <c r="Q206" s="8"/>
      <c r="R206" s="7"/>
      <c r="S206" s="7"/>
      <c r="T206" s="7"/>
      <c r="U206" s="7"/>
      <c r="V206" s="7"/>
      <c r="W206" s="7"/>
      <c r="X206" s="7"/>
      <c r="Y206" s="7"/>
    </row>
    <row r="207" spans="1:25" ht="12.7">
      <c r="A207" s="7"/>
      <c r="B207" s="7"/>
      <c r="C207" s="7"/>
      <c r="D207" s="7"/>
      <c r="E207" s="8"/>
      <c r="F207" s="8"/>
      <c r="G207" s="12"/>
      <c r="H207" s="8"/>
      <c r="I207" s="8"/>
      <c r="J207" s="8"/>
      <c r="K207" s="8"/>
      <c r="L207" s="13"/>
      <c r="M207" s="8"/>
      <c r="N207" s="8"/>
      <c r="O207" s="8"/>
      <c r="P207" s="8"/>
      <c r="Q207" s="8"/>
      <c r="R207" s="7"/>
      <c r="S207" s="7"/>
      <c r="T207" s="7"/>
      <c r="U207" s="7"/>
      <c r="V207" s="7"/>
      <c r="W207" s="7"/>
      <c r="X207" s="7"/>
      <c r="Y207" s="7"/>
    </row>
    <row r="208" spans="1:25" ht="12.7">
      <c r="A208" s="7"/>
      <c r="B208" s="7"/>
      <c r="C208" s="7"/>
      <c r="D208" s="7"/>
      <c r="E208" s="8"/>
      <c r="F208" s="8"/>
      <c r="G208" s="12"/>
      <c r="H208" s="8"/>
      <c r="I208" s="8"/>
      <c r="J208" s="8"/>
      <c r="K208" s="8"/>
      <c r="L208" s="13"/>
      <c r="M208" s="8"/>
      <c r="N208" s="8"/>
      <c r="O208" s="8"/>
      <c r="P208" s="8"/>
      <c r="Q208" s="8"/>
      <c r="R208" s="7"/>
      <c r="S208" s="7"/>
      <c r="T208" s="7"/>
      <c r="U208" s="7"/>
      <c r="V208" s="7"/>
      <c r="W208" s="7"/>
      <c r="X208" s="7"/>
      <c r="Y208" s="7"/>
    </row>
    <row r="209" spans="1:25" ht="12.7">
      <c r="A209" s="7"/>
      <c r="B209" s="7"/>
      <c r="C209" s="7"/>
      <c r="D209" s="7"/>
      <c r="E209" s="8"/>
      <c r="F209" s="8"/>
      <c r="G209" s="12"/>
      <c r="H209" s="8"/>
      <c r="I209" s="8"/>
      <c r="J209" s="8"/>
      <c r="K209" s="8"/>
      <c r="L209" s="13"/>
      <c r="M209" s="8"/>
      <c r="N209" s="8"/>
      <c r="O209" s="8"/>
      <c r="P209" s="8"/>
      <c r="Q209" s="8"/>
      <c r="R209" s="7"/>
      <c r="S209" s="7"/>
      <c r="T209" s="7"/>
      <c r="U209" s="7"/>
      <c r="V209" s="7"/>
      <c r="W209" s="7"/>
      <c r="X209" s="7"/>
      <c r="Y209" s="7"/>
    </row>
    <row r="210" spans="1:25" ht="12.7">
      <c r="A210" s="7"/>
      <c r="B210" s="7"/>
      <c r="C210" s="7"/>
      <c r="D210" s="7"/>
      <c r="E210" s="8"/>
      <c r="F210" s="8"/>
      <c r="G210" s="12"/>
      <c r="H210" s="8"/>
      <c r="I210" s="8"/>
      <c r="J210" s="8"/>
      <c r="K210" s="8"/>
      <c r="L210" s="13"/>
      <c r="M210" s="8"/>
      <c r="N210" s="8"/>
      <c r="O210" s="8"/>
      <c r="P210" s="8"/>
      <c r="Q210" s="8"/>
      <c r="R210" s="7"/>
      <c r="S210" s="7"/>
      <c r="T210" s="7"/>
      <c r="U210" s="7"/>
      <c r="V210" s="7"/>
      <c r="W210" s="7"/>
      <c r="X210" s="7"/>
      <c r="Y210" s="7"/>
    </row>
    <row r="211" spans="1:25" ht="12.7">
      <c r="A211" s="7"/>
      <c r="B211" s="7"/>
      <c r="C211" s="7"/>
      <c r="D211" s="7"/>
      <c r="E211" s="8"/>
      <c r="F211" s="8"/>
      <c r="G211" s="12"/>
      <c r="H211" s="8"/>
      <c r="I211" s="8"/>
      <c r="J211" s="8"/>
      <c r="K211" s="8"/>
      <c r="L211" s="13"/>
      <c r="M211" s="8"/>
      <c r="N211" s="8"/>
      <c r="O211" s="8"/>
      <c r="P211" s="8"/>
      <c r="Q211" s="8"/>
      <c r="R211" s="7"/>
      <c r="S211" s="7"/>
      <c r="T211" s="7"/>
      <c r="U211" s="7"/>
      <c r="V211" s="7"/>
      <c r="W211" s="7"/>
      <c r="X211" s="7"/>
      <c r="Y211" s="7"/>
    </row>
    <row r="212" spans="1:25" ht="12.7">
      <c r="A212" s="7"/>
      <c r="B212" s="7"/>
      <c r="C212" s="7"/>
      <c r="D212" s="7"/>
      <c r="E212" s="8"/>
      <c r="F212" s="8"/>
      <c r="G212" s="12"/>
      <c r="H212" s="8"/>
      <c r="I212" s="8"/>
      <c r="J212" s="8"/>
      <c r="K212" s="8"/>
      <c r="L212" s="13"/>
      <c r="M212" s="8"/>
      <c r="N212" s="8"/>
      <c r="O212" s="8"/>
      <c r="P212" s="8"/>
      <c r="Q212" s="8"/>
      <c r="R212" s="7"/>
      <c r="S212" s="7"/>
      <c r="T212" s="7"/>
      <c r="U212" s="7"/>
      <c r="V212" s="7"/>
      <c r="W212" s="7"/>
      <c r="X212" s="7"/>
      <c r="Y212" s="7"/>
    </row>
    <row r="213" spans="1:25" ht="12.7">
      <c r="A213" s="7"/>
      <c r="B213" s="7"/>
      <c r="C213" s="7"/>
      <c r="D213" s="7"/>
      <c r="E213" s="8"/>
      <c r="F213" s="8"/>
      <c r="G213" s="12"/>
      <c r="H213" s="8"/>
      <c r="I213" s="8"/>
      <c r="J213" s="8"/>
      <c r="K213" s="8"/>
      <c r="L213" s="13"/>
      <c r="M213" s="8"/>
      <c r="N213" s="8"/>
      <c r="O213" s="8"/>
      <c r="P213" s="8"/>
      <c r="Q213" s="8"/>
      <c r="R213" s="7"/>
      <c r="S213" s="7"/>
      <c r="T213" s="7"/>
      <c r="U213" s="7"/>
      <c r="V213" s="7"/>
      <c r="W213" s="7"/>
      <c r="X213" s="7"/>
      <c r="Y213" s="7"/>
    </row>
    <row r="214" spans="1:25" ht="12.7">
      <c r="A214" s="7"/>
      <c r="B214" s="7"/>
      <c r="C214" s="7"/>
      <c r="D214" s="7"/>
      <c r="E214" s="8"/>
      <c r="F214" s="8"/>
      <c r="G214" s="12"/>
      <c r="H214" s="8"/>
      <c r="I214" s="8"/>
      <c r="J214" s="8"/>
      <c r="K214" s="8"/>
      <c r="L214" s="13"/>
      <c r="M214" s="8"/>
      <c r="N214" s="8"/>
      <c r="O214" s="8"/>
      <c r="P214" s="8"/>
      <c r="Q214" s="8"/>
      <c r="R214" s="7"/>
      <c r="S214" s="7"/>
      <c r="T214" s="7"/>
      <c r="U214" s="7"/>
      <c r="V214" s="7"/>
      <c r="W214" s="7"/>
      <c r="X214" s="7"/>
      <c r="Y214" s="7"/>
    </row>
    <row r="215" spans="1:25" ht="12.7">
      <c r="A215" s="7"/>
      <c r="B215" s="7"/>
      <c r="C215" s="7"/>
      <c r="D215" s="7"/>
      <c r="E215" s="8"/>
      <c r="F215" s="8"/>
      <c r="G215" s="12"/>
      <c r="H215" s="8"/>
      <c r="I215" s="8"/>
      <c r="J215" s="8"/>
      <c r="K215" s="8"/>
      <c r="L215" s="13"/>
      <c r="M215" s="8"/>
      <c r="N215" s="8"/>
      <c r="O215" s="8"/>
      <c r="P215" s="8"/>
      <c r="Q215" s="8"/>
      <c r="R215" s="7"/>
      <c r="S215" s="7"/>
      <c r="T215" s="7"/>
      <c r="U215" s="7"/>
      <c r="V215" s="7"/>
      <c r="W215" s="7"/>
      <c r="X215" s="7"/>
      <c r="Y215" s="7"/>
    </row>
    <row r="216" spans="1:25" ht="12.7">
      <c r="A216" s="7"/>
      <c r="B216" s="7"/>
      <c r="C216" s="7"/>
      <c r="D216" s="7"/>
      <c r="E216" s="8"/>
      <c r="F216" s="8"/>
      <c r="G216" s="12"/>
      <c r="H216" s="8"/>
      <c r="I216" s="8"/>
      <c r="J216" s="8"/>
      <c r="K216" s="8"/>
      <c r="L216" s="13"/>
      <c r="M216" s="8"/>
      <c r="N216" s="8"/>
      <c r="O216" s="8"/>
      <c r="P216" s="8"/>
      <c r="Q216" s="8"/>
      <c r="R216" s="7"/>
      <c r="S216" s="7"/>
      <c r="T216" s="7"/>
      <c r="U216" s="7"/>
      <c r="V216" s="7"/>
      <c r="W216" s="7"/>
      <c r="X216" s="7"/>
      <c r="Y216" s="7"/>
    </row>
    <row r="217" spans="1:25" ht="12.7">
      <c r="A217" s="7"/>
      <c r="B217" s="7"/>
      <c r="C217" s="7"/>
      <c r="D217" s="7"/>
      <c r="E217" s="8"/>
      <c r="F217" s="8"/>
      <c r="G217" s="12"/>
      <c r="H217" s="8"/>
      <c r="I217" s="8"/>
      <c r="J217" s="8"/>
      <c r="K217" s="8"/>
      <c r="L217" s="13"/>
      <c r="M217" s="8"/>
      <c r="N217" s="8"/>
      <c r="O217" s="8"/>
      <c r="P217" s="8"/>
      <c r="Q217" s="8"/>
      <c r="R217" s="7"/>
      <c r="S217" s="7"/>
      <c r="T217" s="7"/>
      <c r="U217" s="7"/>
      <c r="V217" s="7"/>
      <c r="W217" s="7"/>
      <c r="X217" s="7"/>
      <c r="Y217" s="7"/>
    </row>
    <row r="218" spans="1:25" ht="12.7">
      <c r="A218" s="7"/>
      <c r="B218" s="7"/>
      <c r="C218" s="7"/>
      <c r="D218" s="7"/>
      <c r="E218" s="8"/>
      <c r="F218" s="8"/>
      <c r="G218" s="12"/>
      <c r="H218" s="8"/>
      <c r="I218" s="8"/>
      <c r="J218" s="8"/>
      <c r="K218" s="8"/>
      <c r="L218" s="13"/>
      <c r="M218" s="8"/>
      <c r="N218" s="8"/>
      <c r="O218" s="8"/>
      <c r="P218" s="8"/>
      <c r="Q218" s="8"/>
      <c r="R218" s="7"/>
      <c r="S218" s="7"/>
      <c r="T218" s="7"/>
      <c r="U218" s="7"/>
      <c r="V218" s="7"/>
      <c r="W218" s="7"/>
      <c r="X218" s="7"/>
      <c r="Y218" s="7"/>
    </row>
    <row r="219" spans="1:25" ht="12.7">
      <c r="A219" s="7"/>
      <c r="B219" s="7"/>
      <c r="C219" s="7"/>
      <c r="D219" s="7"/>
      <c r="E219" s="8"/>
      <c r="F219" s="8"/>
      <c r="G219" s="12"/>
      <c r="H219" s="8"/>
      <c r="I219" s="8"/>
      <c r="J219" s="8"/>
      <c r="K219" s="8"/>
      <c r="L219" s="13"/>
      <c r="M219" s="8"/>
      <c r="N219" s="8"/>
      <c r="O219" s="8"/>
      <c r="P219" s="8"/>
      <c r="Q219" s="8"/>
      <c r="R219" s="7"/>
      <c r="S219" s="7"/>
      <c r="T219" s="7"/>
      <c r="U219" s="7"/>
      <c r="V219" s="7"/>
      <c r="W219" s="7"/>
      <c r="X219" s="7"/>
      <c r="Y219" s="7"/>
    </row>
    <row r="220" spans="1:25" ht="12.7">
      <c r="A220" s="7"/>
      <c r="B220" s="7"/>
      <c r="C220" s="7"/>
      <c r="D220" s="7"/>
      <c r="E220" s="8"/>
      <c r="F220" s="8"/>
      <c r="G220" s="12"/>
      <c r="H220" s="8"/>
      <c r="I220" s="8"/>
      <c r="J220" s="8"/>
      <c r="K220" s="8"/>
      <c r="L220" s="13"/>
      <c r="M220" s="8"/>
      <c r="N220" s="8"/>
      <c r="O220" s="8"/>
      <c r="P220" s="8"/>
      <c r="Q220" s="8"/>
      <c r="R220" s="7"/>
      <c r="S220" s="7"/>
      <c r="T220" s="7"/>
      <c r="U220" s="7"/>
      <c r="V220" s="7"/>
      <c r="W220" s="7"/>
      <c r="X220" s="7"/>
      <c r="Y220" s="7"/>
    </row>
    <row r="221" spans="1:25" ht="12.7">
      <c r="A221" s="7"/>
      <c r="B221" s="7"/>
      <c r="C221" s="7"/>
      <c r="D221" s="7"/>
      <c r="E221" s="8"/>
      <c r="F221" s="8"/>
      <c r="G221" s="12"/>
      <c r="H221" s="8"/>
      <c r="I221" s="8"/>
      <c r="J221" s="8"/>
      <c r="K221" s="8"/>
      <c r="L221" s="13"/>
      <c r="M221" s="8"/>
      <c r="N221" s="8"/>
      <c r="O221" s="8"/>
      <c r="P221" s="8"/>
      <c r="Q221" s="8"/>
      <c r="R221" s="7"/>
      <c r="S221" s="7"/>
      <c r="T221" s="7"/>
      <c r="U221" s="7"/>
      <c r="V221" s="7"/>
      <c r="W221" s="7"/>
      <c r="X221" s="7"/>
      <c r="Y221" s="7"/>
    </row>
    <row r="222" spans="1:25" ht="12.7">
      <c r="A222" s="7"/>
      <c r="B222" s="7"/>
      <c r="C222" s="7"/>
      <c r="D222" s="7"/>
      <c r="E222" s="8"/>
      <c r="F222" s="8"/>
      <c r="G222" s="12"/>
      <c r="H222" s="8"/>
      <c r="I222" s="8"/>
      <c r="J222" s="8"/>
      <c r="K222" s="8"/>
      <c r="L222" s="13"/>
      <c r="M222" s="8"/>
      <c r="N222" s="8"/>
      <c r="O222" s="8"/>
      <c r="P222" s="8"/>
      <c r="Q222" s="8"/>
      <c r="R222" s="7"/>
      <c r="S222" s="7"/>
      <c r="T222" s="7"/>
      <c r="U222" s="7"/>
      <c r="V222" s="7"/>
      <c r="W222" s="7"/>
      <c r="X222" s="7"/>
      <c r="Y222" s="7"/>
    </row>
    <row r="223" spans="1:25" ht="12.7">
      <c r="A223" s="7"/>
      <c r="B223" s="7"/>
      <c r="C223" s="7"/>
      <c r="D223" s="7"/>
      <c r="E223" s="8"/>
      <c r="F223" s="8"/>
      <c r="G223" s="12"/>
      <c r="H223" s="8"/>
      <c r="I223" s="8"/>
      <c r="J223" s="8"/>
      <c r="K223" s="8"/>
      <c r="L223" s="13"/>
      <c r="M223" s="8"/>
      <c r="N223" s="8"/>
      <c r="O223" s="8"/>
      <c r="P223" s="8"/>
      <c r="Q223" s="8"/>
      <c r="R223" s="7"/>
      <c r="S223" s="7"/>
      <c r="T223" s="7"/>
      <c r="U223" s="7"/>
      <c r="V223" s="7"/>
      <c r="W223" s="7"/>
      <c r="X223" s="7"/>
      <c r="Y223" s="7"/>
    </row>
    <row r="224" spans="1:25" ht="12.7">
      <c r="A224" s="7"/>
      <c r="B224" s="7"/>
      <c r="C224" s="7"/>
      <c r="D224" s="7"/>
      <c r="E224" s="8"/>
      <c r="F224" s="8"/>
      <c r="G224" s="12"/>
      <c r="H224" s="8"/>
      <c r="I224" s="8"/>
      <c r="J224" s="8"/>
      <c r="K224" s="8"/>
      <c r="L224" s="13"/>
      <c r="M224" s="8"/>
      <c r="N224" s="8"/>
      <c r="O224" s="8"/>
      <c r="P224" s="8"/>
      <c r="Q224" s="8"/>
      <c r="R224" s="7"/>
      <c r="S224" s="7"/>
      <c r="T224" s="7"/>
      <c r="U224" s="7"/>
      <c r="V224" s="7"/>
      <c r="W224" s="7"/>
      <c r="X224" s="7"/>
      <c r="Y224" s="7"/>
    </row>
    <row r="225" spans="1:25" ht="12.7">
      <c r="A225" s="7"/>
      <c r="B225" s="7"/>
      <c r="C225" s="7"/>
      <c r="D225" s="7"/>
      <c r="E225" s="8"/>
      <c r="F225" s="8"/>
      <c r="G225" s="12"/>
      <c r="H225" s="8"/>
      <c r="I225" s="8"/>
      <c r="J225" s="8"/>
      <c r="K225" s="8"/>
      <c r="L225" s="13"/>
      <c r="M225" s="8"/>
      <c r="N225" s="8"/>
      <c r="O225" s="8"/>
      <c r="P225" s="8"/>
      <c r="Q225" s="8"/>
      <c r="R225" s="7"/>
      <c r="S225" s="7"/>
      <c r="T225" s="7"/>
      <c r="U225" s="7"/>
      <c r="V225" s="7"/>
      <c r="W225" s="7"/>
      <c r="X225" s="7"/>
      <c r="Y225" s="7"/>
    </row>
    <row r="226" spans="1:25" ht="12.7">
      <c r="A226" s="7"/>
      <c r="B226" s="7"/>
      <c r="C226" s="7"/>
      <c r="D226" s="7"/>
      <c r="E226" s="8"/>
      <c r="F226" s="7"/>
      <c r="G226" s="8"/>
      <c r="H226" s="7"/>
      <c r="I226" s="8"/>
      <c r="J226" s="8"/>
      <c r="K226" s="8"/>
      <c r="L226" s="13"/>
      <c r="M226" s="8"/>
      <c r="N226" s="8"/>
      <c r="O226" s="8"/>
      <c r="P226" s="8"/>
      <c r="Q226" s="8"/>
      <c r="R226" s="7"/>
      <c r="S226" s="7"/>
      <c r="T226" s="7"/>
      <c r="U226" s="7"/>
      <c r="V226" s="7"/>
      <c r="W226" s="7"/>
      <c r="X226" s="7"/>
      <c r="Y226" s="7"/>
    </row>
    <row r="227" spans="1:25" ht="12.7">
      <c r="A227" s="7"/>
      <c r="B227" s="7"/>
      <c r="C227" s="7"/>
      <c r="D227" s="7"/>
      <c r="E227" s="8"/>
      <c r="F227" s="7"/>
      <c r="G227" s="8"/>
      <c r="H227" s="7"/>
      <c r="I227" s="8"/>
      <c r="J227" s="8"/>
      <c r="K227" s="8"/>
      <c r="L227" s="13"/>
      <c r="M227" s="8"/>
      <c r="N227" s="8"/>
      <c r="O227" s="8"/>
      <c r="P227" s="8"/>
      <c r="Q227" s="8"/>
      <c r="R227" s="7"/>
      <c r="S227" s="7"/>
      <c r="T227" s="7"/>
      <c r="U227" s="7"/>
      <c r="V227" s="7"/>
      <c r="W227" s="7"/>
      <c r="X227" s="7"/>
      <c r="Y227" s="7"/>
    </row>
    <row r="228" spans="1:25" ht="12.7">
      <c r="A228" s="7"/>
      <c r="B228" s="7"/>
      <c r="C228" s="7"/>
      <c r="D228" s="7"/>
      <c r="E228" s="8"/>
      <c r="F228" s="7"/>
      <c r="G228" s="8"/>
      <c r="H228" s="7"/>
      <c r="I228" s="8"/>
      <c r="J228" s="8"/>
      <c r="K228" s="8"/>
      <c r="L228" s="13"/>
      <c r="M228" s="8"/>
      <c r="N228" s="8"/>
      <c r="O228" s="8"/>
      <c r="P228" s="8"/>
      <c r="Q228" s="8"/>
      <c r="R228" s="7"/>
      <c r="S228" s="7"/>
      <c r="T228" s="7"/>
      <c r="U228" s="7"/>
      <c r="V228" s="7"/>
      <c r="W228" s="7"/>
      <c r="X228" s="7"/>
      <c r="Y228" s="7"/>
    </row>
    <row r="229" spans="1:25" ht="12.7">
      <c r="A229" s="7"/>
      <c r="B229" s="7"/>
      <c r="C229" s="7"/>
      <c r="D229" s="7"/>
      <c r="E229" s="8"/>
      <c r="F229" s="7"/>
      <c r="G229" s="8"/>
      <c r="H229" s="7"/>
      <c r="I229" s="8"/>
      <c r="J229" s="8"/>
      <c r="K229" s="8"/>
      <c r="L229" s="13"/>
      <c r="M229" s="8"/>
      <c r="N229" s="8"/>
      <c r="O229" s="8"/>
      <c r="P229" s="8"/>
      <c r="Q229" s="8"/>
      <c r="R229" s="7"/>
      <c r="S229" s="7"/>
      <c r="T229" s="7"/>
      <c r="U229" s="7"/>
      <c r="V229" s="7"/>
      <c r="W229" s="7"/>
      <c r="X229" s="7"/>
      <c r="Y229" s="7"/>
    </row>
    <row r="230" spans="1:25" ht="12.7">
      <c r="A230" s="7"/>
      <c r="B230" s="7"/>
      <c r="C230" s="7"/>
      <c r="D230" s="7"/>
      <c r="E230" s="8"/>
      <c r="F230" s="7"/>
      <c r="G230" s="8"/>
      <c r="H230" s="7"/>
      <c r="I230" s="8"/>
      <c r="J230" s="8"/>
      <c r="K230" s="8"/>
      <c r="L230" s="13"/>
      <c r="M230" s="8"/>
      <c r="N230" s="8"/>
      <c r="O230" s="8"/>
      <c r="P230" s="8"/>
      <c r="Q230" s="8"/>
      <c r="R230" s="7"/>
      <c r="S230" s="7"/>
      <c r="T230" s="7"/>
      <c r="U230" s="7"/>
      <c r="V230" s="7"/>
      <c r="W230" s="7"/>
      <c r="X230" s="7"/>
      <c r="Y230" s="7"/>
    </row>
    <row r="231" spans="1:25" ht="12.7">
      <c r="A231" s="7"/>
      <c r="B231" s="7"/>
      <c r="C231" s="7"/>
      <c r="D231" s="7"/>
      <c r="E231" s="8"/>
      <c r="F231" s="7"/>
      <c r="G231" s="8"/>
      <c r="H231" s="7"/>
      <c r="I231" s="8"/>
      <c r="J231" s="8"/>
      <c r="K231" s="8"/>
      <c r="L231" s="13"/>
      <c r="M231" s="8"/>
      <c r="N231" s="8"/>
      <c r="O231" s="8"/>
      <c r="P231" s="8"/>
      <c r="Q231" s="8"/>
      <c r="R231" s="7"/>
      <c r="S231" s="7"/>
      <c r="T231" s="7"/>
      <c r="U231" s="7"/>
      <c r="V231" s="7"/>
      <c r="W231" s="7"/>
      <c r="X231" s="7"/>
      <c r="Y231" s="7"/>
    </row>
    <row r="232" spans="1:25" ht="12.7">
      <c r="A232" s="7"/>
      <c r="B232" s="7"/>
      <c r="C232" s="7"/>
      <c r="D232" s="7"/>
      <c r="E232" s="8"/>
      <c r="F232" s="7"/>
      <c r="G232" s="8"/>
      <c r="H232" s="7"/>
      <c r="I232" s="8"/>
      <c r="J232" s="8"/>
      <c r="K232" s="8"/>
      <c r="L232" s="13"/>
      <c r="M232" s="8"/>
      <c r="N232" s="8"/>
      <c r="O232" s="8"/>
      <c r="P232" s="8"/>
      <c r="Q232" s="8"/>
      <c r="R232" s="7"/>
      <c r="S232" s="7"/>
      <c r="T232" s="7"/>
      <c r="U232" s="7"/>
      <c r="V232" s="7"/>
      <c r="W232" s="7"/>
      <c r="X232" s="7"/>
      <c r="Y232" s="7"/>
    </row>
    <row r="233" spans="1:25" ht="12.7">
      <c r="A233" s="7"/>
      <c r="B233" s="7"/>
      <c r="C233" s="7"/>
      <c r="D233" s="7"/>
      <c r="E233" s="8"/>
      <c r="F233" s="7"/>
      <c r="G233" s="8"/>
      <c r="H233" s="7"/>
      <c r="I233" s="8"/>
      <c r="J233" s="8"/>
      <c r="K233" s="8"/>
      <c r="L233" s="13"/>
      <c r="M233" s="8"/>
      <c r="N233" s="8"/>
      <c r="O233" s="8"/>
      <c r="P233" s="8"/>
      <c r="Q233" s="8"/>
      <c r="R233" s="7"/>
      <c r="S233" s="7"/>
      <c r="T233" s="7"/>
      <c r="U233" s="7"/>
      <c r="V233" s="7"/>
      <c r="W233" s="7"/>
      <c r="X233" s="7"/>
      <c r="Y233" s="7"/>
    </row>
    <row r="234" spans="1:25" ht="12.7">
      <c r="A234" s="7"/>
      <c r="B234" s="7"/>
      <c r="C234" s="7"/>
      <c r="D234" s="7"/>
      <c r="E234" s="8"/>
      <c r="F234" s="7"/>
      <c r="G234" s="8"/>
      <c r="H234" s="7"/>
      <c r="I234" s="8"/>
      <c r="J234" s="8"/>
      <c r="K234" s="8"/>
      <c r="L234" s="13"/>
      <c r="M234" s="8"/>
      <c r="N234" s="8"/>
      <c r="O234" s="8"/>
      <c r="P234" s="8"/>
      <c r="Q234" s="8"/>
      <c r="R234" s="7"/>
      <c r="S234" s="7"/>
      <c r="T234" s="7"/>
      <c r="U234" s="7"/>
      <c r="V234" s="7"/>
      <c r="W234" s="7"/>
      <c r="X234" s="7"/>
      <c r="Y234" s="7"/>
    </row>
    <row r="235" spans="1:25" ht="12.7">
      <c r="A235" s="7"/>
      <c r="B235" s="7"/>
      <c r="C235" s="7"/>
      <c r="D235" s="7"/>
      <c r="E235" s="8"/>
      <c r="F235" s="7"/>
      <c r="G235" s="8"/>
      <c r="H235" s="7"/>
      <c r="I235" s="8"/>
      <c r="J235" s="8"/>
      <c r="K235" s="8"/>
      <c r="L235" s="13"/>
      <c r="M235" s="8"/>
      <c r="N235" s="8"/>
      <c r="O235" s="8"/>
      <c r="P235" s="8"/>
      <c r="Q235" s="8"/>
      <c r="R235" s="7"/>
      <c r="S235" s="7"/>
      <c r="T235" s="7"/>
      <c r="U235" s="7"/>
      <c r="V235" s="7"/>
      <c r="W235" s="7"/>
      <c r="X235" s="7"/>
      <c r="Y235" s="7"/>
    </row>
    <row r="236" spans="1:25" ht="12.7">
      <c r="A236" s="7"/>
      <c r="B236" s="7"/>
      <c r="C236" s="7"/>
      <c r="D236" s="7"/>
      <c r="E236" s="8"/>
      <c r="F236" s="7"/>
      <c r="G236" s="8"/>
      <c r="H236" s="7"/>
      <c r="I236" s="8"/>
      <c r="J236" s="8"/>
      <c r="K236" s="8"/>
      <c r="L236" s="13"/>
      <c r="M236" s="8"/>
      <c r="N236" s="8"/>
      <c r="O236" s="8"/>
      <c r="P236" s="8"/>
      <c r="Q236" s="8"/>
      <c r="R236" s="7"/>
      <c r="S236" s="7"/>
      <c r="T236" s="7"/>
      <c r="U236" s="7"/>
      <c r="V236" s="7"/>
      <c r="W236" s="7"/>
      <c r="X236" s="7"/>
      <c r="Y236" s="7"/>
    </row>
    <row r="237" spans="1:25" ht="12.7">
      <c r="A237" s="7"/>
      <c r="B237" s="7"/>
      <c r="C237" s="7"/>
      <c r="D237" s="7"/>
      <c r="E237" s="8"/>
      <c r="F237" s="7"/>
      <c r="G237" s="8"/>
      <c r="H237" s="7"/>
      <c r="I237" s="8"/>
      <c r="J237" s="8"/>
      <c r="K237" s="8"/>
      <c r="L237" s="13"/>
      <c r="M237" s="8"/>
      <c r="N237" s="8"/>
      <c r="O237" s="8"/>
      <c r="P237" s="8"/>
      <c r="Q237" s="8"/>
      <c r="R237" s="7"/>
      <c r="S237" s="7"/>
      <c r="T237" s="7"/>
      <c r="U237" s="7"/>
      <c r="V237" s="7"/>
      <c r="W237" s="7"/>
      <c r="X237" s="7"/>
      <c r="Y237" s="7"/>
    </row>
    <row r="238" spans="1:25" ht="12.7">
      <c r="A238" s="7"/>
      <c r="B238" s="7"/>
      <c r="C238" s="7"/>
      <c r="D238" s="7"/>
      <c r="E238" s="8"/>
      <c r="F238" s="7"/>
      <c r="G238" s="8"/>
      <c r="H238" s="7"/>
      <c r="I238" s="8"/>
      <c r="J238" s="8"/>
      <c r="K238" s="8"/>
      <c r="L238" s="13"/>
      <c r="M238" s="8"/>
      <c r="N238" s="8"/>
      <c r="O238" s="8"/>
      <c r="P238" s="8"/>
      <c r="Q238" s="8"/>
      <c r="R238" s="7"/>
      <c r="S238" s="7"/>
      <c r="T238" s="7"/>
      <c r="U238" s="7"/>
      <c r="V238" s="7"/>
      <c r="W238" s="7"/>
      <c r="X238" s="7"/>
      <c r="Y238" s="7"/>
    </row>
    <row r="239" spans="1:25" ht="12.7">
      <c r="A239" s="7"/>
      <c r="B239" s="7"/>
      <c r="C239" s="7"/>
      <c r="D239" s="7"/>
      <c r="E239" s="8"/>
      <c r="F239" s="7"/>
      <c r="G239" s="8"/>
      <c r="H239" s="7"/>
      <c r="I239" s="8"/>
      <c r="J239" s="8"/>
      <c r="K239" s="8"/>
      <c r="L239" s="13"/>
      <c r="M239" s="8"/>
      <c r="N239" s="8"/>
      <c r="O239" s="8"/>
      <c r="P239" s="8"/>
      <c r="Q239" s="8"/>
      <c r="R239" s="7"/>
      <c r="S239" s="7"/>
      <c r="T239" s="7"/>
      <c r="U239" s="7"/>
      <c r="V239" s="7"/>
      <c r="W239" s="7"/>
      <c r="X239" s="7"/>
      <c r="Y239" s="7"/>
    </row>
    <row r="240" spans="1:25" ht="12.7">
      <c r="A240" s="7"/>
      <c r="B240" s="7"/>
      <c r="C240" s="7"/>
      <c r="D240" s="7"/>
      <c r="E240" s="8"/>
      <c r="F240" s="7"/>
      <c r="G240" s="8"/>
      <c r="H240" s="7"/>
      <c r="I240" s="8"/>
      <c r="J240" s="8"/>
      <c r="K240" s="8"/>
      <c r="L240" s="13"/>
      <c r="M240" s="8"/>
      <c r="N240" s="8"/>
      <c r="O240" s="8"/>
      <c r="P240" s="8"/>
      <c r="Q240" s="8"/>
      <c r="R240" s="7"/>
      <c r="S240" s="7"/>
      <c r="T240" s="7"/>
      <c r="U240" s="7"/>
      <c r="V240" s="7"/>
      <c r="W240" s="7"/>
      <c r="X240" s="7"/>
      <c r="Y240" s="7"/>
    </row>
    <row r="241" spans="1:25" ht="12.7">
      <c r="A241" s="7"/>
      <c r="B241" s="7"/>
      <c r="C241" s="7"/>
      <c r="D241" s="7"/>
      <c r="E241" s="8"/>
      <c r="F241" s="7"/>
      <c r="G241" s="8"/>
      <c r="H241" s="7"/>
      <c r="I241" s="8"/>
      <c r="J241" s="8"/>
      <c r="K241" s="8"/>
      <c r="L241" s="13"/>
      <c r="M241" s="8"/>
      <c r="N241" s="8"/>
      <c r="O241" s="8"/>
      <c r="P241" s="8"/>
      <c r="Q241" s="8"/>
      <c r="R241" s="7"/>
      <c r="S241" s="7"/>
      <c r="T241" s="7"/>
      <c r="U241" s="7"/>
      <c r="V241" s="7"/>
      <c r="W241" s="7"/>
      <c r="X241" s="7"/>
      <c r="Y241" s="7"/>
    </row>
    <row r="242" spans="1:25" ht="12.7">
      <c r="A242" s="7"/>
      <c r="B242" s="7"/>
      <c r="C242" s="7"/>
      <c r="D242" s="7"/>
      <c r="E242" s="8"/>
      <c r="F242" s="7"/>
      <c r="G242" s="8"/>
      <c r="H242" s="7"/>
      <c r="I242" s="8"/>
      <c r="J242" s="8"/>
      <c r="K242" s="8"/>
      <c r="L242" s="13"/>
      <c r="M242" s="8"/>
      <c r="N242" s="8"/>
      <c r="O242" s="8"/>
      <c r="P242" s="8"/>
      <c r="Q242" s="8"/>
      <c r="R242" s="7"/>
      <c r="S242" s="7"/>
      <c r="T242" s="7"/>
      <c r="U242" s="7"/>
      <c r="V242" s="7"/>
      <c r="W242" s="7"/>
      <c r="X242" s="7"/>
      <c r="Y242" s="7"/>
    </row>
    <row r="243" spans="1:25" ht="12.7">
      <c r="A243" s="7"/>
      <c r="B243" s="7"/>
      <c r="C243" s="7"/>
      <c r="D243" s="7"/>
      <c r="E243" s="8"/>
      <c r="F243" s="7"/>
      <c r="G243" s="8"/>
      <c r="H243" s="7"/>
      <c r="I243" s="8"/>
      <c r="J243" s="8"/>
      <c r="K243" s="8"/>
      <c r="L243" s="13"/>
      <c r="M243" s="8"/>
      <c r="N243" s="8"/>
      <c r="O243" s="8"/>
      <c r="P243" s="8"/>
      <c r="Q243" s="8"/>
      <c r="R243" s="7"/>
      <c r="S243" s="7"/>
      <c r="T243" s="7"/>
      <c r="U243" s="7"/>
      <c r="V243" s="7"/>
      <c r="W243" s="7"/>
      <c r="X243" s="7"/>
      <c r="Y243" s="7"/>
    </row>
    <row r="244" spans="1:25" ht="12.7">
      <c r="A244" s="7"/>
      <c r="B244" s="7"/>
      <c r="C244" s="7"/>
      <c r="D244" s="7"/>
      <c r="E244" s="8"/>
      <c r="F244" s="7"/>
      <c r="G244" s="8"/>
      <c r="H244" s="7"/>
      <c r="I244" s="8"/>
      <c r="J244" s="8"/>
      <c r="K244" s="8"/>
      <c r="L244" s="13"/>
      <c r="M244" s="8"/>
      <c r="N244" s="8"/>
      <c r="O244" s="8"/>
      <c r="P244" s="8"/>
      <c r="Q244" s="8"/>
      <c r="R244" s="7"/>
      <c r="S244" s="7"/>
      <c r="T244" s="7"/>
      <c r="U244" s="7"/>
      <c r="V244" s="7"/>
      <c r="W244" s="7"/>
      <c r="X244" s="7"/>
      <c r="Y244" s="7"/>
    </row>
    <row r="245" spans="1:25" ht="12.7">
      <c r="A245" s="7"/>
      <c r="B245" s="7"/>
      <c r="C245" s="7"/>
      <c r="D245" s="7"/>
      <c r="E245" s="8"/>
      <c r="F245" s="7"/>
      <c r="G245" s="8"/>
      <c r="H245" s="7"/>
      <c r="I245" s="8"/>
      <c r="J245" s="8"/>
      <c r="K245" s="8"/>
      <c r="L245" s="13"/>
      <c r="M245" s="8"/>
      <c r="N245" s="8"/>
      <c r="O245" s="8"/>
      <c r="P245" s="8"/>
      <c r="Q245" s="8"/>
      <c r="R245" s="7"/>
      <c r="S245" s="7"/>
      <c r="T245" s="7"/>
      <c r="U245" s="7"/>
      <c r="V245" s="7"/>
      <c r="W245" s="7"/>
      <c r="X245" s="7"/>
      <c r="Y245" s="7"/>
    </row>
    <row r="246" spans="1:25" ht="12.7">
      <c r="A246" s="7"/>
      <c r="B246" s="7"/>
      <c r="C246" s="7"/>
      <c r="D246" s="7"/>
      <c r="E246" s="8"/>
      <c r="F246" s="7"/>
      <c r="G246" s="8"/>
      <c r="H246" s="7"/>
      <c r="I246" s="8"/>
      <c r="J246" s="8"/>
      <c r="K246" s="8"/>
      <c r="L246" s="13"/>
      <c r="M246" s="8"/>
      <c r="N246" s="8"/>
      <c r="O246" s="8"/>
      <c r="P246" s="8"/>
      <c r="Q246" s="8"/>
      <c r="R246" s="7"/>
      <c r="S246" s="7"/>
      <c r="T246" s="7"/>
      <c r="U246" s="7"/>
      <c r="V246" s="7"/>
      <c r="W246" s="7"/>
      <c r="X246" s="7"/>
      <c r="Y246" s="7"/>
    </row>
    <row r="247" spans="1:25" ht="12.7">
      <c r="A247" s="7"/>
      <c r="B247" s="7"/>
      <c r="C247" s="7"/>
      <c r="D247" s="7"/>
      <c r="E247" s="8"/>
      <c r="F247" s="7"/>
      <c r="G247" s="8"/>
      <c r="H247" s="7"/>
      <c r="I247" s="8"/>
      <c r="J247" s="8"/>
      <c r="K247" s="8"/>
      <c r="L247" s="13"/>
      <c r="M247" s="8"/>
      <c r="N247" s="8"/>
      <c r="O247" s="8"/>
      <c r="P247" s="8"/>
      <c r="Q247" s="8"/>
      <c r="R247" s="7"/>
      <c r="S247" s="7"/>
      <c r="T247" s="7"/>
      <c r="U247" s="7"/>
      <c r="V247" s="7"/>
      <c r="W247" s="7"/>
      <c r="X247" s="7"/>
      <c r="Y247" s="7"/>
    </row>
    <row r="248" spans="1:25" ht="12.7">
      <c r="A248" s="7"/>
      <c r="B248" s="7"/>
      <c r="C248" s="7"/>
      <c r="D248" s="7"/>
      <c r="E248" s="8"/>
      <c r="F248" s="7"/>
      <c r="G248" s="8"/>
      <c r="H248" s="7"/>
      <c r="I248" s="8"/>
      <c r="J248" s="8"/>
      <c r="K248" s="8"/>
      <c r="L248" s="13"/>
      <c r="M248" s="8"/>
      <c r="N248" s="8"/>
      <c r="O248" s="8"/>
      <c r="P248" s="8"/>
      <c r="Q248" s="8"/>
      <c r="R248" s="7"/>
      <c r="S248" s="7"/>
      <c r="T248" s="7"/>
      <c r="U248" s="7"/>
      <c r="V248" s="7"/>
      <c r="W248" s="7"/>
      <c r="X248" s="7"/>
      <c r="Y248" s="7"/>
    </row>
    <row r="249" spans="1:25" ht="12.7">
      <c r="A249" s="7"/>
      <c r="B249" s="7"/>
      <c r="C249" s="7"/>
      <c r="D249" s="7"/>
      <c r="E249" s="8"/>
      <c r="F249" s="7"/>
      <c r="G249" s="8"/>
      <c r="H249" s="7"/>
      <c r="I249" s="8"/>
      <c r="J249" s="8"/>
      <c r="K249" s="8"/>
      <c r="L249" s="13"/>
      <c r="M249" s="8"/>
      <c r="N249" s="8"/>
      <c r="O249" s="8"/>
      <c r="P249" s="8"/>
      <c r="Q249" s="8"/>
      <c r="R249" s="7"/>
      <c r="S249" s="7"/>
      <c r="T249" s="7"/>
      <c r="U249" s="7"/>
      <c r="V249" s="7"/>
      <c r="W249" s="7"/>
      <c r="X249" s="7"/>
      <c r="Y249" s="7"/>
    </row>
    <row r="250" spans="1:25" ht="12.7">
      <c r="A250" s="7"/>
      <c r="B250" s="7"/>
      <c r="C250" s="7"/>
      <c r="D250" s="7"/>
      <c r="E250" s="8"/>
      <c r="F250" s="7"/>
      <c r="G250" s="8"/>
      <c r="H250" s="7"/>
      <c r="I250" s="8"/>
      <c r="J250" s="8"/>
      <c r="K250" s="8"/>
      <c r="L250" s="13"/>
      <c r="M250" s="8"/>
      <c r="N250" s="8"/>
      <c r="O250" s="8"/>
      <c r="P250" s="8"/>
      <c r="Q250" s="8"/>
      <c r="R250" s="7"/>
      <c r="S250" s="7"/>
      <c r="T250" s="7"/>
      <c r="U250" s="7"/>
      <c r="V250" s="7"/>
      <c r="W250" s="7"/>
      <c r="X250" s="7"/>
      <c r="Y250" s="7"/>
    </row>
    <row r="251" spans="1:25" ht="12.7">
      <c r="A251" s="7"/>
      <c r="B251" s="7"/>
      <c r="C251" s="7"/>
      <c r="D251" s="7"/>
      <c r="E251" s="8"/>
      <c r="F251" s="7"/>
      <c r="G251" s="8"/>
      <c r="H251" s="7"/>
      <c r="I251" s="8"/>
      <c r="J251" s="8"/>
      <c r="K251" s="8"/>
      <c r="L251" s="13"/>
      <c r="M251" s="8"/>
      <c r="N251" s="8"/>
      <c r="O251" s="8"/>
      <c r="P251" s="8"/>
      <c r="Q251" s="8"/>
      <c r="R251" s="7"/>
      <c r="S251" s="7"/>
      <c r="T251" s="7"/>
      <c r="U251" s="7"/>
      <c r="V251" s="7"/>
      <c r="W251" s="7"/>
      <c r="X251" s="7"/>
      <c r="Y251" s="7"/>
    </row>
    <row r="252" spans="1:25" ht="12.7">
      <c r="A252" s="7"/>
      <c r="B252" s="7"/>
      <c r="C252" s="7"/>
      <c r="D252" s="7"/>
      <c r="E252" s="8"/>
      <c r="F252" s="7"/>
      <c r="G252" s="8"/>
      <c r="H252" s="7"/>
      <c r="I252" s="8"/>
      <c r="J252" s="8"/>
      <c r="K252" s="8"/>
      <c r="L252" s="13"/>
      <c r="M252" s="8"/>
      <c r="N252" s="8"/>
      <c r="O252" s="8"/>
      <c r="P252" s="8"/>
      <c r="Q252" s="8"/>
      <c r="R252" s="7"/>
      <c r="S252" s="7"/>
      <c r="T252" s="7"/>
      <c r="U252" s="7"/>
      <c r="V252" s="7"/>
      <c r="W252" s="7"/>
      <c r="X252" s="7"/>
      <c r="Y252" s="7"/>
    </row>
    <row r="253" spans="1:25" ht="12.7">
      <c r="A253" s="7"/>
      <c r="B253" s="7"/>
      <c r="C253" s="7"/>
      <c r="D253" s="7"/>
      <c r="E253" s="8"/>
      <c r="F253" s="7"/>
      <c r="G253" s="8"/>
      <c r="H253" s="7"/>
      <c r="I253" s="8"/>
      <c r="J253" s="8"/>
      <c r="K253" s="8"/>
      <c r="L253" s="13"/>
      <c r="M253" s="8"/>
      <c r="N253" s="8"/>
      <c r="O253" s="8"/>
      <c r="P253" s="8"/>
      <c r="Q253" s="8"/>
      <c r="R253" s="7"/>
      <c r="S253" s="7"/>
      <c r="T253" s="7"/>
      <c r="U253" s="7"/>
      <c r="V253" s="7"/>
      <c r="W253" s="7"/>
      <c r="X253" s="7"/>
      <c r="Y253" s="7"/>
    </row>
    <row r="254" spans="1:25" ht="12.7">
      <c r="A254" s="7"/>
      <c r="B254" s="7"/>
      <c r="C254" s="7"/>
      <c r="D254" s="7"/>
      <c r="E254" s="8"/>
      <c r="F254" s="7"/>
      <c r="G254" s="8"/>
      <c r="H254" s="7"/>
      <c r="I254" s="8"/>
      <c r="J254" s="8"/>
      <c r="K254" s="8"/>
      <c r="L254" s="13"/>
      <c r="M254" s="8"/>
      <c r="N254" s="8"/>
      <c r="O254" s="8"/>
      <c r="P254" s="8"/>
      <c r="Q254" s="8"/>
      <c r="R254" s="7"/>
      <c r="S254" s="7"/>
      <c r="T254" s="7"/>
      <c r="U254" s="7"/>
      <c r="V254" s="7"/>
      <c r="W254" s="7"/>
      <c r="X254" s="7"/>
      <c r="Y254" s="7"/>
    </row>
    <row r="255" spans="1:25" ht="12.7">
      <c r="A255" s="7"/>
      <c r="B255" s="7"/>
      <c r="C255" s="7"/>
      <c r="D255" s="7"/>
      <c r="E255" s="8"/>
      <c r="F255" s="7"/>
      <c r="G255" s="8"/>
      <c r="H255" s="7"/>
      <c r="I255" s="8"/>
      <c r="J255" s="8"/>
      <c r="K255" s="8"/>
      <c r="L255" s="13"/>
      <c r="M255" s="8"/>
      <c r="N255" s="8"/>
      <c r="O255" s="8"/>
      <c r="P255" s="8"/>
      <c r="Q255" s="8"/>
      <c r="R255" s="7"/>
      <c r="S255" s="7"/>
      <c r="T255" s="7"/>
      <c r="U255" s="7"/>
      <c r="V255" s="7"/>
      <c r="W255" s="7"/>
      <c r="X255" s="7"/>
      <c r="Y255" s="7"/>
    </row>
    <row r="256" spans="1:25" ht="12.7">
      <c r="A256" s="7"/>
      <c r="B256" s="7"/>
      <c r="C256" s="7"/>
      <c r="D256" s="7"/>
      <c r="E256" s="8"/>
      <c r="F256" s="7"/>
      <c r="G256" s="8"/>
      <c r="H256" s="7"/>
      <c r="I256" s="8"/>
      <c r="J256" s="8"/>
      <c r="K256" s="8"/>
      <c r="L256" s="13"/>
      <c r="M256" s="8"/>
      <c r="N256" s="8"/>
      <c r="O256" s="8"/>
      <c r="P256" s="8"/>
      <c r="Q256" s="8"/>
      <c r="R256" s="7"/>
      <c r="S256" s="7"/>
      <c r="T256" s="7"/>
      <c r="U256" s="7"/>
      <c r="V256" s="7"/>
      <c r="W256" s="7"/>
      <c r="X256" s="7"/>
      <c r="Y256" s="7"/>
    </row>
    <row r="257" spans="1:25" ht="12.7">
      <c r="A257" s="7"/>
      <c r="B257" s="7"/>
      <c r="C257" s="7"/>
      <c r="D257" s="7"/>
      <c r="E257" s="8"/>
      <c r="F257" s="7"/>
      <c r="G257" s="8"/>
      <c r="H257" s="7"/>
      <c r="I257" s="8"/>
      <c r="J257" s="8"/>
      <c r="K257" s="8"/>
      <c r="L257" s="13"/>
      <c r="M257" s="8"/>
      <c r="N257" s="8"/>
      <c r="O257" s="8"/>
      <c r="P257" s="8"/>
      <c r="Q257" s="8"/>
      <c r="R257" s="7"/>
      <c r="S257" s="7"/>
      <c r="T257" s="7"/>
      <c r="U257" s="7"/>
      <c r="V257" s="7"/>
      <c r="W257" s="7"/>
      <c r="X257" s="7"/>
      <c r="Y257" s="7"/>
    </row>
    <row r="258" spans="1:25" ht="12.7">
      <c r="A258" s="7"/>
      <c r="B258" s="7"/>
      <c r="C258" s="7"/>
      <c r="D258" s="7"/>
      <c r="E258" s="8"/>
      <c r="F258" s="7"/>
      <c r="G258" s="8"/>
      <c r="H258" s="7"/>
      <c r="I258" s="8"/>
      <c r="J258" s="8"/>
      <c r="K258" s="8"/>
      <c r="L258" s="13"/>
      <c r="M258" s="8"/>
      <c r="N258" s="8"/>
      <c r="O258" s="8"/>
      <c r="P258" s="8"/>
      <c r="Q258" s="8"/>
      <c r="R258" s="7"/>
      <c r="S258" s="7"/>
      <c r="T258" s="7"/>
      <c r="U258" s="7"/>
      <c r="V258" s="7"/>
      <c r="W258" s="7"/>
      <c r="X258" s="7"/>
      <c r="Y258" s="7"/>
    </row>
    <row r="259" spans="1:25" ht="12.7">
      <c r="A259" s="7"/>
      <c r="B259" s="7"/>
      <c r="C259" s="7"/>
      <c r="D259" s="7"/>
      <c r="E259" s="8"/>
      <c r="F259" s="7"/>
      <c r="G259" s="8"/>
      <c r="H259" s="7"/>
      <c r="I259" s="8"/>
      <c r="J259" s="8"/>
      <c r="K259" s="8"/>
      <c r="L259" s="13"/>
      <c r="M259" s="8"/>
      <c r="N259" s="8"/>
      <c r="O259" s="8"/>
      <c r="P259" s="8"/>
      <c r="Q259" s="8"/>
      <c r="R259" s="7"/>
      <c r="S259" s="7"/>
      <c r="T259" s="7"/>
      <c r="U259" s="7"/>
      <c r="V259" s="7"/>
      <c r="W259" s="7"/>
      <c r="X259" s="7"/>
      <c r="Y259" s="7"/>
    </row>
    <row r="260" spans="1:25" ht="12.7">
      <c r="A260" s="7"/>
      <c r="B260" s="7"/>
      <c r="C260" s="7"/>
      <c r="D260" s="7"/>
      <c r="E260" s="8"/>
      <c r="F260" s="7"/>
      <c r="G260" s="8"/>
      <c r="H260" s="7"/>
      <c r="I260" s="8"/>
      <c r="J260" s="8"/>
      <c r="K260" s="8"/>
      <c r="L260" s="13"/>
      <c r="M260" s="8"/>
      <c r="N260" s="8"/>
      <c r="O260" s="8"/>
      <c r="P260" s="8"/>
      <c r="Q260" s="8"/>
      <c r="R260" s="7"/>
      <c r="S260" s="7"/>
      <c r="T260" s="7"/>
      <c r="U260" s="7"/>
      <c r="V260" s="7"/>
      <c r="W260" s="7"/>
      <c r="X260" s="7"/>
      <c r="Y260" s="7"/>
    </row>
    <row r="261" spans="1:25" ht="12.7">
      <c r="A261" s="7"/>
      <c r="B261" s="7"/>
      <c r="C261" s="7"/>
      <c r="D261" s="7"/>
      <c r="E261" s="8"/>
      <c r="F261" s="7"/>
      <c r="G261" s="8"/>
      <c r="H261" s="7"/>
      <c r="I261" s="8"/>
      <c r="J261" s="8"/>
      <c r="K261" s="8"/>
      <c r="L261" s="13"/>
      <c r="M261" s="8"/>
      <c r="N261" s="8"/>
      <c r="O261" s="8"/>
      <c r="P261" s="8"/>
      <c r="Q261" s="8"/>
      <c r="R261" s="7"/>
      <c r="S261" s="7"/>
      <c r="T261" s="7"/>
      <c r="U261" s="7"/>
      <c r="V261" s="7"/>
      <c r="W261" s="7"/>
      <c r="X261" s="7"/>
      <c r="Y261" s="7"/>
    </row>
    <row r="262" spans="1:25" ht="12.7">
      <c r="A262" s="7"/>
      <c r="B262" s="7"/>
      <c r="C262" s="7"/>
      <c r="D262" s="7"/>
      <c r="E262" s="8"/>
      <c r="F262" s="7"/>
      <c r="G262" s="8"/>
      <c r="H262" s="7"/>
      <c r="I262" s="8"/>
      <c r="J262" s="8"/>
      <c r="K262" s="8"/>
      <c r="L262" s="13"/>
      <c r="M262" s="8"/>
      <c r="N262" s="8"/>
      <c r="O262" s="8"/>
      <c r="P262" s="8"/>
      <c r="Q262" s="8"/>
      <c r="R262" s="7"/>
      <c r="S262" s="7"/>
      <c r="T262" s="7"/>
      <c r="U262" s="7"/>
      <c r="V262" s="7"/>
      <c r="W262" s="7"/>
      <c r="X262" s="7"/>
      <c r="Y262" s="7"/>
    </row>
    <row r="263" spans="1:25" ht="12.7">
      <c r="A263" s="7"/>
      <c r="B263" s="7"/>
      <c r="C263" s="7"/>
      <c r="D263" s="7"/>
      <c r="E263" s="8"/>
      <c r="F263" s="7"/>
      <c r="G263" s="8"/>
      <c r="H263" s="7"/>
      <c r="I263" s="8"/>
      <c r="J263" s="8"/>
      <c r="K263" s="8"/>
      <c r="L263" s="13"/>
      <c r="M263" s="8"/>
      <c r="N263" s="8"/>
      <c r="O263" s="8"/>
      <c r="P263" s="8"/>
      <c r="Q263" s="8"/>
      <c r="R263" s="7"/>
      <c r="S263" s="7"/>
      <c r="T263" s="7"/>
      <c r="U263" s="7"/>
      <c r="V263" s="7"/>
      <c r="W263" s="7"/>
      <c r="X263" s="7"/>
      <c r="Y263" s="7"/>
    </row>
    <row r="264" spans="1:25" ht="12.7">
      <c r="A264" s="7"/>
      <c r="B264" s="7"/>
      <c r="C264" s="7"/>
      <c r="D264" s="7"/>
      <c r="E264" s="8"/>
      <c r="F264" s="7"/>
      <c r="G264" s="8"/>
      <c r="H264" s="7"/>
      <c r="I264" s="8"/>
      <c r="J264" s="8"/>
      <c r="K264" s="8"/>
      <c r="L264" s="13"/>
      <c r="M264" s="8"/>
      <c r="N264" s="8"/>
      <c r="O264" s="8"/>
      <c r="P264" s="8"/>
      <c r="Q264" s="8"/>
      <c r="R264" s="7"/>
      <c r="S264" s="7"/>
      <c r="T264" s="7"/>
      <c r="U264" s="7"/>
      <c r="V264" s="7"/>
      <c r="W264" s="7"/>
      <c r="X264" s="7"/>
      <c r="Y264" s="7"/>
    </row>
    <row r="265" spans="1:25" ht="12.7">
      <c r="A265" s="7"/>
      <c r="B265" s="7"/>
      <c r="C265" s="7"/>
      <c r="D265" s="7"/>
      <c r="E265" s="8"/>
      <c r="F265" s="7"/>
      <c r="G265" s="8"/>
      <c r="H265" s="7"/>
      <c r="I265" s="8"/>
      <c r="J265" s="8"/>
      <c r="K265" s="8"/>
      <c r="L265" s="13"/>
      <c r="M265" s="8"/>
      <c r="N265" s="8"/>
      <c r="O265" s="8"/>
      <c r="P265" s="8"/>
      <c r="Q265" s="8"/>
      <c r="R265" s="7"/>
      <c r="S265" s="7"/>
      <c r="T265" s="7"/>
      <c r="U265" s="7"/>
      <c r="V265" s="7"/>
      <c r="W265" s="7"/>
      <c r="X265" s="7"/>
      <c r="Y265" s="7"/>
    </row>
    <row r="266" spans="1:25" ht="12.7">
      <c r="A266" s="7"/>
      <c r="B266" s="7"/>
      <c r="C266" s="7"/>
      <c r="D266" s="7"/>
      <c r="E266" s="8"/>
      <c r="F266" s="7"/>
      <c r="G266" s="8"/>
      <c r="H266" s="7"/>
      <c r="I266" s="8"/>
      <c r="J266" s="8"/>
      <c r="K266" s="8"/>
      <c r="L266" s="13"/>
      <c r="M266" s="8"/>
      <c r="N266" s="8"/>
      <c r="O266" s="8"/>
      <c r="P266" s="8"/>
      <c r="Q266" s="8"/>
      <c r="R266" s="7"/>
      <c r="S266" s="7"/>
      <c r="T266" s="7"/>
      <c r="U266" s="7"/>
      <c r="V266" s="7"/>
      <c r="W266" s="7"/>
      <c r="X266" s="7"/>
      <c r="Y266" s="7"/>
    </row>
    <row r="267" spans="1:25" ht="12.7">
      <c r="A267" s="7"/>
      <c r="B267" s="7"/>
      <c r="C267" s="7"/>
      <c r="D267" s="7"/>
      <c r="E267" s="8"/>
      <c r="F267" s="7"/>
      <c r="G267" s="8"/>
      <c r="H267" s="7"/>
      <c r="I267" s="8"/>
      <c r="J267" s="8"/>
      <c r="K267" s="8"/>
      <c r="L267" s="13"/>
      <c r="M267" s="8"/>
      <c r="N267" s="8"/>
      <c r="O267" s="8"/>
      <c r="P267" s="8"/>
      <c r="Q267" s="8"/>
      <c r="R267" s="7"/>
      <c r="S267" s="7"/>
      <c r="T267" s="7"/>
      <c r="U267" s="7"/>
      <c r="V267" s="7"/>
      <c r="W267" s="7"/>
      <c r="X267" s="7"/>
      <c r="Y267" s="7"/>
    </row>
    <row r="268" spans="1:25" ht="12.7">
      <c r="A268" s="7"/>
      <c r="B268" s="7"/>
      <c r="C268" s="7"/>
      <c r="D268" s="7"/>
      <c r="E268" s="8"/>
      <c r="F268" s="7"/>
      <c r="G268" s="8"/>
      <c r="H268" s="7"/>
      <c r="I268" s="8"/>
      <c r="J268" s="8"/>
      <c r="K268" s="8"/>
      <c r="L268" s="13"/>
      <c r="M268" s="8"/>
      <c r="N268" s="8"/>
      <c r="O268" s="8"/>
      <c r="P268" s="8"/>
      <c r="Q268" s="8"/>
      <c r="R268" s="7"/>
      <c r="S268" s="7"/>
      <c r="T268" s="7"/>
      <c r="U268" s="7"/>
      <c r="V268" s="7"/>
      <c r="W268" s="7"/>
      <c r="X268" s="7"/>
      <c r="Y268" s="7"/>
    </row>
    <row r="269" spans="1:25" ht="12.7">
      <c r="A269" s="7"/>
      <c r="B269" s="7"/>
      <c r="C269" s="7"/>
      <c r="D269" s="7"/>
      <c r="E269" s="8"/>
      <c r="F269" s="7"/>
      <c r="G269" s="8"/>
      <c r="H269" s="7"/>
      <c r="I269" s="8"/>
      <c r="J269" s="8"/>
      <c r="K269" s="8"/>
      <c r="L269" s="13"/>
      <c r="M269" s="8"/>
      <c r="N269" s="8"/>
      <c r="O269" s="8"/>
      <c r="P269" s="8"/>
      <c r="Q269" s="8"/>
      <c r="R269" s="7"/>
      <c r="S269" s="7"/>
      <c r="T269" s="7"/>
      <c r="U269" s="7"/>
      <c r="V269" s="7"/>
      <c r="W269" s="7"/>
      <c r="X269" s="7"/>
      <c r="Y269" s="7"/>
    </row>
    <row r="270" spans="1:25" ht="12.7">
      <c r="A270" s="7"/>
      <c r="B270" s="7"/>
      <c r="C270" s="7"/>
      <c r="D270" s="7"/>
      <c r="E270" s="8"/>
      <c r="F270" s="7"/>
      <c r="G270" s="8"/>
      <c r="H270" s="7"/>
      <c r="I270" s="8"/>
      <c r="J270" s="8"/>
      <c r="K270" s="8"/>
      <c r="L270" s="13"/>
      <c r="M270" s="8"/>
      <c r="N270" s="8"/>
      <c r="O270" s="8"/>
      <c r="P270" s="8"/>
      <c r="Q270" s="8"/>
      <c r="R270" s="7"/>
      <c r="S270" s="7"/>
      <c r="T270" s="7"/>
      <c r="U270" s="7"/>
      <c r="V270" s="7"/>
      <c r="W270" s="7"/>
      <c r="X270" s="7"/>
      <c r="Y270" s="7"/>
    </row>
    <row r="271" spans="1:25" ht="12.7">
      <c r="A271" s="7"/>
      <c r="B271" s="7"/>
      <c r="C271" s="7"/>
      <c r="D271" s="7"/>
      <c r="E271" s="8"/>
      <c r="F271" s="7"/>
      <c r="G271" s="8"/>
      <c r="H271" s="7"/>
      <c r="I271" s="8"/>
      <c r="J271" s="8"/>
      <c r="K271" s="8"/>
      <c r="L271" s="13"/>
      <c r="M271" s="8"/>
      <c r="N271" s="8"/>
      <c r="O271" s="8"/>
      <c r="P271" s="8"/>
      <c r="Q271" s="8"/>
      <c r="R271" s="7"/>
      <c r="S271" s="7"/>
      <c r="T271" s="7"/>
      <c r="U271" s="7"/>
      <c r="V271" s="7"/>
      <c r="W271" s="7"/>
      <c r="X271" s="7"/>
      <c r="Y271" s="7"/>
    </row>
    <row r="272" spans="1:25" ht="12.7">
      <c r="A272" s="7"/>
      <c r="B272" s="7"/>
      <c r="C272" s="7"/>
      <c r="D272" s="7"/>
      <c r="E272" s="8"/>
      <c r="F272" s="7"/>
      <c r="G272" s="8"/>
      <c r="H272" s="7"/>
      <c r="I272" s="8"/>
      <c r="J272" s="8"/>
      <c r="K272" s="8"/>
      <c r="L272" s="13"/>
      <c r="M272" s="8"/>
      <c r="N272" s="8"/>
      <c r="O272" s="8"/>
      <c r="P272" s="8"/>
      <c r="Q272" s="8"/>
      <c r="R272" s="7"/>
      <c r="S272" s="7"/>
      <c r="T272" s="7"/>
      <c r="U272" s="7"/>
      <c r="V272" s="7"/>
      <c r="W272" s="7"/>
      <c r="X272" s="7"/>
      <c r="Y272" s="7"/>
    </row>
    <row r="273" spans="1:25" ht="12.7">
      <c r="A273" s="7"/>
      <c r="B273" s="7"/>
      <c r="C273" s="7"/>
      <c r="D273" s="7"/>
      <c r="E273" s="8"/>
      <c r="F273" s="7"/>
      <c r="G273" s="8"/>
      <c r="H273" s="7"/>
      <c r="I273" s="8"/>
      <c r="J273" s="8"/>
      <c r="K273" s="8"/>
      <c r="L273" s="13"/>
      <c r="M273" s="8"/>
      <c r="N273" s="8"/>
      <c r="O273" s="8"/>
      <c r="P273" s="8"/>
      <c r="Q273" s="8"/>
      <c r="R273" s="7"/>
      <c r="S273" s="7"/>
      <c r="T273" s="7"/>
      <c r="U273" s="7"/>
      <c r="V273" s="7"/>
      <c r="W273" s="7"/>
      <c r="X273" s="7"/>
      <c r="Y273" s="7"/>
    </row>
    <row r="274" spans="1:25" ht="12.7">
      <c r="A274" s="7"/>
      <c r="B274" s="7"/>
      <c r="C274" s="7"/>
      <c r="D274" s="7"/>
      <c r="E274" s="8"/>
      <c r="F274" s="7"/>
      <c r="G274" s="8"/>
      <c r="H274" s="7"/>
      <c r="I274" s="8"/>
      <c r="J274" s="8"/>
      <c r="K274" s="8"/>
      <c r="L274" s="13"/>
      <c r="M274" s="8"/>
      <c r="N274" s="8"/>
      <c r="O274" s="8"/>
      <c r="P274" s="8"/>
      <c r="Q274" s="8"/>
      <c r="R274" s="7"/>
      <c r="S274" s="7"/>
      <c r="T274" s="7"/>
      <c r="U274" s="7"/>
      <c r="V274" s="7"/>
      <c r="W274" s="7"/>
      <c r="X274" s="7"/>
      <c r="Y274" s="7"/>
    </row>
    <row r="275" spans="1:25" ht="12.7">
      <c r="A275" s="7"/>
      <c r="B275" s="7"/>
      <c r="C275" s="7"/>
      <c r="D275" s="7"/>
      <c r="E275" s="8"/>
      <c r="F275" s="7"/>
      <c r="G275" s="8"/>
      <c r="H275" s="7"/>
      <c r="I275" s="8"/>
      <c r="J275" s="8"/>
      <c r="K275" s="8"/>
      <c r="L275" s="13"/>
      <c r="M275" s="8"/>
      <c r="N275" s="8"/>
      <c r="O275" s="8"/>
      <c r="P275" s="8"/>
      <c r="Q275" s="8"/>
      <c r="R275" s="7"/>
      <c r="S275" s="7"/>
      <c r="T275" s="7"/>
      <c r="U275" s="7"/>
      <c r="V275" s="7"/>
      <c r="W275" s="7"/>
      <c r="X275" s="7"/>
      <c r="Y275" s="7"/>
    </row>
    <row r="276" spans="1:25" ht="12.7">
      <c r="A276" s="7"/>
      <c r="B276" s="7"/>
      <c r="C276" s="7"/>
      <c r="D276" s="7"/>
      <c r="E276" s="8"/>
      <c r="F276" s="7"/>
      <c r="G276" s="8"/>
      <c r="H276" s="7"/>
      <c r="I276" s="8"/>
      <c r="J276" s="8"/>
      <c r="K276" s="8"/>
      <c r="L276" s="13"/>
      <c r="M276" s="8"/>
      <c r="N276" s="8"/>
      <c r="O276" s="8"/>
      <c r="P276" s="8"/>
      <c r="Q276" s="8"/>
      <c r="R276" s="7"/>
      <c r="S276" s="7"/>
      <c r="T276" s="7"/>
      <c r="U276" s="7"/>
      <c r="V276" s="7"/>
      <c r="W276" s="7"/>
      <c r="X276" s="7"/>
      <c r="Y276" s="7"/>
    </row>
    <row r="277" spans="1:25" ht="12.7">
      <c r="A277" s="7"/>
      <c r="B277" s="7"/>
      <c r="C277" s="7"/>
      <c r="D277" s="7"/>
      <c r="E277" s="8"/>
      <c r="F277" s="7"/>
      <c r="G277" s="8"/>
      <c r="H277" s="7"/>
      <c r="I277" s="8"/>
      <c r="J277" s="8"/>
      <c r="K277" s="8"/>
      <c r="L277" s="13"/>
      <c r="M277" s="8"/>
      <c r="N277" s="8"/>
      <c r="O277" s="8"/>
      <c r="P277" s="8"/>
      <c r="Q277" s="8"/>
      <c r="R277" s="7"/>
      <c r="S277" s="7"/>
      <c r="T277" s="7"/>
      <c r="U277" s="7"/>
      <c r="V277" s="7"/>
      <c r="W277" s="7"/>
      <c r="X277" s="7"/>
      <c r="Y277" s="7"/>
    </row>
    <row r="278" spans="1:25" ht="12.7">
      <c r="A278" s="7"/>
      <c r="B278" s="7"/>
      <c r="C278" s="7"/>
      <c r="D278" s="7"/>
      <c r="E278" s="8"/>
      <c r="F278" s="7"/>
      <c r="G278" s="8"/>
      <c r="H278" s="7"/>
      <c r="I278" s="8"/>
      <c r="J278" s="8"/>
      <c r="K278" s="8"/>
      <c r="L278" s="13"/>
      <c r="M278" s="8"/>
      <c r="N278" s="8"/>
      <c r="O278" s="8"/>
      <c r="P278" s="8"/>
      <c r="Q278" s="8"/>
      <c r="R278" s="7"/>
      <c r="S278" s="7"/>
      <c r="T278" s="7"/>
      <c r="U278" s="7"/>
      <c r="V278" s="7"/>
      <c r="W278" s="7"/>
      <c r="X278" s="7"/>
      <c r="Y278" s="7"/>
    </row>
    <row r="279" spans="1:25" ht="12.7">
      <c r="A279" s="7"/>
      <c r="B279" s="7"/>
      <c r="C279" s="7"/>
      <c r="D279" s="7"/>
      <c r="E279" s="8"/>
      <c r="F279" s="7"/>
      <c r="G279" s="8"/>
      <c r="H279" s="7"/>
      <c r="I279" s="8"/>
      <c r="J279" s="8"/>
      <c r="K279" s="8"/>
      <c r="L279" s="13"/>
      <c r="M279" s="8"/>
      <c r="N279" s="8"/>
      <c r="O279" s="8"/>
      <c r="P279" s="8"/>
      <c r="Q279" s="8"/>
      <c r="R279" s="7"/>
      <c r="S279" s="7"/>
      <c r="T279" s="7"/>
      <c r="U279" s="7"/>
      <c r="V279" s="7"/>
      <c r="W279" s="7"/>
      <c r="X279" s="7"/>
      <c r="Y279" s="7"/>
    </row>
    <row r="280" spans="1:25" ht="12.7">
      <c r="A280" s="7"/>
      <c r="B280" s="7"/>
      <c r="C280" s="7"/>
      <c r="D280" s="7"/>
      <c r="E280" s="8"/>
      <c r="F280" s="7"/>
      <c r="G280" s="8"/>
      <c r="H280" s="7"/>
      <c r="I280" s="8"/>
      <c r="J280" s="8"/>
      <c r="K280" s="8"/>
      <c r="L280" s="13"/>
      <c r="M280" s="8"/>
      <c r="N280" s="8"/>
      <c r="O280" s="8"/>
      <c r="P280" s="8"/>
      <c r="Q280" s="8"/>
      <c r="R280" s="7"/>
      <c r="S280" s="7"/>
      <c r="T280" s="7"/>
      <c r="U280" s="7"/>
      <c r="V280" s="7"/>
      <c r="W280" s="7"/>
      <c r="X280" s="7"/>
      <c r="Y280" s="7"/>
    </row>
    <row r="281" spans="1:25" ht="12.7">
      <c r="A281" s="7"/>
      <c r="B281" s="7"/>
      <c r="C281" s="7"/>
      <c r="D281" s="7"/>
      <c r="E281" s="8"/>
      <c r="F281" s="7"/>
      <c r="G281" s="8"/>
      <c r="H281" s="7"/>
      <c r="I281" s="8"/>
      <c r="J281" s="8"/>
      <c r="K281" s="8"/>
      <c r="L281" s="13"/>
      <c r="M281" s="8"/>
      <c r="N281" s="8"/>
      <c r="O281" s="8"/>
      <c r="P281" s="8"/>
      <c r="Q281" s="8"/>
      <c r="R281" s="7"/>
      <c r="S281" s="7"/>
      <c r="T281" s="7"/>
      <c r="U281" s="7"/>
      <c r="V281" s="7"/>
      <c r="W281" s="7"/>
      <c r="X281" s="7"/>
      <c r="Y281" s="7"/>
    </row>
    <row r="282" spans="1:25" ht="12.7">
      <c r="A282" s="7"/>
      <c r="B282" s="7"/>
      <c r="C282" s="7"/>
      <c r="D282" s="7"/>
      <c r="E282" s="8"/>
      <c r="F282" s="7"/>
      <c r="G282" s="8"/>
      <c r="H282" s="7"/>
      <c r="I282" s="8"/>
      <c r="J282" s="8"/>
      <c r="K282" s="8"/>
      <c r="L282" s="13"/>
      <c r="M282" s="8"/>
      <c r="N282" s="8"/>
      <c r="O282" s="8"/>
      <c r="P282" s="8"/>
      <c r="Q282" s="8"/>
      <c r="R282" s="7"/>
      <c r="S282" s="7"/>
      <c r="T282" s="7"/>
      <c r="U282" s="7"/>
      <c r="V282" s="7"/>
      <c r="W282" s="7"/>
      <c r="X282" s="7"/>
      <c r="Y282" s="7"/>
    </row>
    <row r="283" spans="1:25" ht="12.7">
      <c r="A283" s="7"/>
      <c r="B283" s="7"/>
      <c r="C283" s="7"/>
      <c r="D283" s="7"/>
      <c r="E283" s="8"/>
      <c r="F283" s="7"/>
      <c r="G283" s="8"/>
      <c r="H283" s="7"/>
      <c r="I283" s="8"/>
      <c r="J283" s="8"/>
      <c r="K283" s="8"/>
      <c r="L283" s="13"/>
      <c r="M283" s="8"/>
      <c r="N283" s="8"/>
      <c r="O283" s="8"/>
      <c r="P283" s="8"/>
      <c r="Q283" s="8"/>
      <c r="R283" s="7"/>
      <c r="S283" s="7"/>
      <c r="T283" s="7"/>
      <c r="U283" s="7"/>
      <c r="V283" s="7"/>
      <c r="W283" s="7"/>
      <c r="X283" s="7"/>
      <c r="Y283" s="7"/>
    </row>
    <row r="284" spans="1:25" ht="12.7">
      <c r="A284" s="7"/>
      <c r="B284" s="7"/>
      <c r="C284" s="7"/>
      <c r="D284" s="7"/>
      <c r="E284" s="8"/>
      <c r="F284" s="7"/>
      <c r="G284" s="8"/>
      <c r="H284" s="7"/>
      <c r="I284" s="8"/>
      <c r="J284" s="8"/>
      <c r="K284" s="8"/>
      <c r="L284" s="13"/>
      <c r="M284" s="8"/>
      <c r="N284" s="8"/>
      <c r="O284" s="8"/>
      <c r="P284" s="8"/>
      <c r="Q284" s="8"/>
      <c r="R284" s="7"/>
      <c r="S284" s="7"/>
      <c r="T284" s="7"/>
      <c r="U284" s="7"/>
      <c r="V284" s="7"/>
      <c r="W284" s="7"/>
      <c r="X284" s="7"/>
      <c r="Y284" s="7"/>
    </row>
    <row r="285" spans="1:25" ht="12.7">
      <c r="A285" s="7"/>
      <c r="B285" s="7"/>
      <c r="C285" s="7"/>
      <c r="D285" s="7"/>
      <c r="E285" s="8"/>
      <c r="F285" s="7"/>
      <c r="G285" s="8"/>
      <c r="H285" s="7"/>
      <c r="I285" s="8"/>
      <c r="J285" s="8"/>
      <c r="K285" s="8"/>
      <c r="L285" s="13"/>
      <c r="M285" s="8"/>
      <c r="N285" s="8"/>
      <c r="O285" s="8"/>
      <c r="P285" s="8"/>
      <c r="Q285" s="8"/>
      <c r="R285" s="7"/>
      <c r="S285" s="7"/>
      <c r="T285" s="7"/>
      <c r="U285" s="7"/>
      <c r="V285" s="7"/>
      <c r="W285" s="7"/>
      <c r="X285" s="7"/>
      <c r="Y285" s="7"/>
    </row>
    <row r="286" spans="1:25" ht="12.7">
      <c r="A286" s="7"/>
      <c r="B286" s="7"/>
      <c r="C286" s="7"/>
      <c r="D286" s="7"/>
      <c r="E286" s="8"/>
      <c r="F286" s="7"/>
      <c r="G286" s="8"/>
      <c r="H286" s="7"/>
      <c r="I286" s="8"/>
      <c r="J286" s="8"/>
      <c r="K286" s="8"/>
      <c r="L286" s="13"/>
      <c r="M286" s="8"/>
      <c r="N286" s="8"/>
      <c r="O286" s="8"/>
      <c r="P286" s="8"/>
      <c r="Q286" s="8"/>
      <c r="R286" s="7"/>
      <c r="S286" s="7"/>
      <c r="T286" s="7"/>
      <c r="U286" s="7"/>
      <c r="V286" s="7"/>
      <c r="W286" s="7"/>
      <c r="X286" s="7"/>
      <c r="Y286" s="7"/>
    </row>
    <row r="287" spans="1:25" ht="12.7">
      <c r="A287" s="7"/>
      <c r="B287" s="7"/>
      <c r="C287" s="7"/>
      <c r="D287" s="7"/>
      <c r="E287" s="8"/>
      <c r="F287" s="7"/>
      <c r="G287" s="8"/>
      <c r="H287" s="7"/>
      <c r="I287" s="8"/>
      <c r="J287" s="8"/>
      <c r="K287" s="8"/>
      <c r="L287" s="13"/>
      <c r="M287" s="8"/>
      <c r="N287" s="8"/>
      <c r="O287" s="8"/>
      <c r="P287" s="8"/>
      <c r="Q287" s="8"/>
      <c r="R287" s="7"/>
      <c r="S287" s="7"/>
      <c r="T287" s="7"/>
      <c r="U287" s="7"/>
      <c r="V287" s="7"/>
      <c r="W287" s="7"/>
      <c r="X287" s="7"/>
      <c r="Y287" s="7"/>
    </row>
    <row r="288" spans="1:25" ht="12.7">
      <c r="A288" s="7"/>
      <c r="B288" s="7"/>
      <c r="C288" s="7"/>
      <c r="D288" s="7"/>
      <c r="E288" s="8"/>
      <c r="F288" s="7"/>
      <c r="G288" s="8"/>
      <c r="H288" s="7"/>
      <c r="I288" s="8"/>
      <c r="J288" s="8"/>
      <c r="K288" s="8"/>
      <c r="L288" s="13"/>
      <c r="M288" s="8"/>
      <c r="N288" s="8"/>
      <c r="O288" s="8"/>
      <c r="P288" s="8"/>
      <c r="Q288" s="8"/>
      <c r="R288" s="7"/>
      <c r="S288" s="7"/>
      <c r="T288" s="7"/>
      <c r="U288" s="7"/>
      <c r="V288" s="7"/>
      <c r="W288" s="7"/>
      <c r="X288" s="7"/>
      <c r="Y288" s="7"/>
    </row>
    <row r="289" spans="1:25" ht="12.7">
      <c r="A289" s="7"/>
      <c r="B289" s="7"/>
      <c r="C289" s="7"/>
      <c r="D289" s="7"/>
      <c r="E289" s="8"/>
      <c r="F289" s="7"/>
      <c r="G289" s="8"/>
      <c r="H289" s="7"/>
      <c r="I289" s="8"/>
      <c r="J289" s="8"/>
      <c r="K289" s="8"/>
      <c r="L289" s="13"/>
      <c r="M289" s="8"/>
      <c r="N289" s="8"/>
      <c r="O289" s="8"/>
      <c r="P289" s="8"/>
      <c r="Q289" s="8"/>
      <c r="R289" s="7"/>
      <c r="S289" s="7"/>
      <c r="T289" s="7"/>
      <c r="U289" s="7"/>
      <c r="V289" s="7"/>
      <c r="W289" s="7"/>
      <c r="X289" s="7"/>
      <c r="Y289" s="7"/>
    </row>
    <row r="290" spans="1:25" ht="12.7">
      <c r="A290" s="7"/>
      <c r="B290" s="7"/>
      <c r="C290" s="7"/>
      <c r="D290" s="7"/>
      <c r="E290" s="8"/>
      <c r="F290" s="7"/>
      <c r="G290" s="8"/>
      <c r="H290" s="7"/>
      <c r="I290" s="8"/>
      <c r="J290" s="8"/>
      <c r="K290" s="8"/>
      <c r="L290" s="13"/>
      <c r="M290" s="8"/>
      <c r="N290" s="8"/>
      <c r="O290" s="8"/>
      <c r="P290" s="8"/>
      <c r="Q290" s="8"/>
      <c r="R290" s="7"/>
      <c r="S290" s="7"/>
      <c r="T290" s="7"/>
      <c r="U290" s="7"/>
      <c r="V290" s="7"/>
      <c r="W290" s="7"/>
      <c r="X290" s="7"/>
      <c r="Y290" s="7"/>
    </row>
    <row r="291" spans="1:25" ht="12.7">
      <c r="A291" s="7"/>
      <c r="B291" s="7"/>
      <c r="C291" s="7"/>
      <c r="D291" s="7"/>
      <c r="E291" s="8"/>
      <c r="F291" s="7"/>
      <c r="G291" s="8"/>
      <c r="H291" s="7"/>
      <c r="I291" s="8"/>
      <c r="J291" s="8"/>
      <c r="K291" s="8"/>
      <c r="L291" s="13"/>
      <c r="M291" s="8"/>
      <c r="N291" s="8"/>
      <c r="O291" s="8"/>
      <c r="P291" s="8"/>
      <c r="Q291" s="8"/>
      <c r="R291" s="7"/>
      <c r="S291" s="7"/>
      <c r="T291" s="7"/>
      <c r="U291" s="7"/>
      <c r="V291" s="7"/>
      <c r="W291" s="7"/>
      <c r="X291" s="7"/>
      <c r="Y291" s="7"/>
    </row>
    <row r="292" spans="1:25" ht="12.7">
      <c r="A292" s="7"/>
      <c r="B292" s="7"/>
      <c r="C292" s="7"/>
      <c r="D292" s="7"/>
      <c r="E292" s="8"/>
      <c r="F292" s="7"/>
      <c r="G292" s="8"/>
      <c r="H292" s="7"/>
      <c r="I292" s="8"/>
      <c r="J292" s="8"/>
      <c r="K292" s="8"/>
      <c r="L292" s="13"/>
      <c r="M292" s="8"/>
      <c r="N292" s="8"/>
      <c r="O292" s="8"/>
      <c r="P292" s="8"/>
      <c r="Q292" s="8"/>
      <c r="R292" s="7"/>
      <c r="S292" s="7"/>
      <c r="T292" s="7"/>
      <c r="U292" s="7"/>
      <c r="V292" s="7"/>
      <c r="W292" s="7"/>
      <c r="X292" s="7"/>
      <c r="Y292" s="7"/>
    </row>
    <row r="293" spans="1:25" ht="12.7">
      <c r="A293" s="7"/>
      <c r="B293" s="7"/>
      <c r="C293" s="7"/>
      <c r="D293" s="7"/>
      <c r="E293" s="8"/>
      <c r="F293" s="7"/>
      <c r="G293" s="8"/>
      <c r="H293" s="7"/>
      <c r="I293" s="8"/>
      <c r="J293" s="8"/>
      <c r="K293" s="8"/>
      <c r="L293" s="13"/>
      <c r="M293" s="8"/>
      <c r="N293" s="8"/>
      <c r="O293" s="8"/>
      <c r="P293" s="8"/>
      <c r="Q293" s="8"/>
      <c r="R293" s="7"/>
      <c r="S293" s="7"/>
      <c r="T293" s="7"/>
      <c r="U293" s="7"/>
      <c r="V293" s="7"/>
      <c r="W293" s="7"/>
      <c r="X293" s="7"/>
      <c r="Y293" s="7"/>
    </row>
    <row r="294" spans="1:25" ht="12.7">
      <c r="A294" s="7"/>
      <c r="B294" s="7"/>
      <c r="C294" s="7"/>
      <c r="D294" s="7"/>
      <c r="E294" s="8"/>
      <c r="F294" s="7"/>
      <c r="G294" s="8"/>
      <c r="H294" s="7"/>
      <c r="I294" s="8"/>
      <c r="J294" s="8"/>
      <c r="K294" s="8"/>
      <c r="L294" s="13"/>
      <c r="M294" s="8"/>
      <c r="N294" s="8"/>
      <c r="O294" s="8"/>
      <c r="P294" s="8"/>
      <c r="Q294" s="8"/>
      <c r="R294" s="7"/>
      <c r="S294" s="7"/>
      <c r="T294" s="7"/>
      <c r="U294" s="7"/>
      <c r="V294" s="7"/>
      <c r="W294" s="7"/>
      <c r="X294" s="7"/>
      <c r="Y294" s="7"/>
    </row>
    <row r="295" spans="1:25" ht="12.7">
      <c r="A295" s="7"/>
      <c r="B295" s="7"/>
      <c r="C295" s="7"/>
      <c r="D295" s="7"/>
      <c r="E295" s="8"/>
      <c r="F295" s="7"/>
      <c r="G295" s="8"/>
      <c r="H295" s="7"/>
      <c r="I295" s="8"/>
      <c r="J295" s="8"/>
      <c r="K295" s="8"/>
      <c r="L295" s="13"/>
      <c r="M295" s="8"/>
      <c r="N295" s="8"/>
      <c r="O295" s="8"/>
      <c r="P295" s="8"/>
      <c r="Q295" s="8"/>
      <c r="R295" s="7"/>
      <c r="S295" s="7"/>
      <c r="T295" s="7"/>
      <c r="U295" s="7"/>
      <c r="V295" s="7"/>
      <c r="W295" s="7"/>
      <c r="X295" s="7"/>
      <c r="Y295" s="7"/>
    </row>
    <row r="296" spans="1:25" ht="12.7">
      <c r="A296" s="7"/>
      <c r="B296" s="7"/>
      <c r="C296" s="7"/>
      <c r="D296" s="7"/>
      <c r="E296" s="8"/>
      <c r="F296" s="7"/>
      <c r="G296" s="8"/>
      <c r="H296" s="7"/>
      <c r="I296" s="8"/>
      <c r="J296" s="8"/>
      <c r="K296" s="8"/>
      <c r="L296" s="13"/>
      <c r="M296" s="8"/>
      <c r="N296" s="8"/>
      <c r="O296" s="8"/>
      <c r="P296" s="8"/>
      <c r="Q296" s="8"/>
      <c r="R296" s="7"/>
      <c r="S296" s="7"/>
      <c r="T296" s="7"/>
      <c r="U296" s="7"/>
      <c r="V296" s="7"/>
      <c r="W296" s="7"/>
      <c r="X296" s="7"/>
      <c r="Y296" s="7"/>
    </row>
    <row r="297" spans="1:25" ht="12.7">
      <c r="A297" s="7"/>
      <c r="B297" s="7"/>
      <c r="C297" s="7"/>
      <c r="D297" s="7"/>
      <c r="E297" s="8"/>
      <c r="F297" s="7"/>
      <c r="G297" s="8"/>
      <c r="H297" s="7"/>
      <c r="I297" s="8"/>
      <c r="J297" s="8"/>
      <c r="K297" s="8"/>
      <c r="L297" s="13"/>
      <c r="M297" s="8"/>
      <c r="N297" s="8"/>
      <c r="O297" s="8"/>
      <c r="P297" s="8"/>
      <c r="Q297" s="8"/>
      <c r="R297" s="7"/>
      <c r="S297" s="7"/>
      <c r="T297" s="7"/>
      <c r="U297" s="7"/>
      <c r="V297" s="7"/>
      <c r="W297" s="7"/>
      <c r="X297" s="7"/>
      <c r="Y297" s="7"/>
    </row>
    <row r="298" spans="1:25" ht="12.7">
      <c r="A298" s="7"/>
      <c r="B298" s="7"/>
      <c r="C298" s="7"/>
      <c r="D298" s="7"/>
      <c r="E298" s="8"/>
      <c r="F298" s="7"/>
      <c r="G298" s="8"/>
      <c r="H298" s="7"/>
      <c r="I298" s="8"/>
      <c r="J298" s="8"/>
      <c r="K298" s="8"/>
      <c r="L298" s="13"/>
      <c r="M298" s="8"/>
      <c r="N298" s="8"/>
      <c r="O298" s="8"/>
      <c r="P298" s="8"/>
      <c r="Q298" s="8"/>
      <c r="R298" s="7"/>
      <c r="S298" s="7"/>
      <c r="T298" s="7"/>
      <c r="U298" s="7"/>
      <c r="V298" s="7"/>
      <c r="W298" s="7"/>
      <c r="X298" s="7"/>
      <c r="Y298" s="7"/>
    </row>
    <row r="299" spans="1:25" ht="12.7">
      <c r="A299" s="7"/>
      <c r="B299" s="7"/>
      <c r="C299" s="7"/>
      <c r="D299" s="7"/>
      <c r="E299" s="8"/>
      <c r="F299" s="7"/>
      <c r="G299" s="8"/>
      <c r="H299" s="7"/>
      <c r="I299" s="8"/>
      <c r="J299" s="8"/>
      <c r="K299" s="8"/>
      <c r="L299" s="13"/>
      <c r="M299" s="8"/>
      <c r="N299" s="8"/>
      <c r="O299" s="8"/>
      <c r="P299" s="8"/>
      <c r="Q299" s="8"/>
      <c r="R299" s="7"/>
      <c r="S299" s="7"/>
      <c r="T299" s="7"/>
      <c r="U299" s="7"/>
      <c r="V299" s="7"/>
      <c r="W299" s="7"/>
      <c r="X299" s="7"/>
      <c r="Y299" s="7"/>
    </row>
    <row r="300" spans="1:25" ht="12.7">
      <c r="A300" s="7"/>
      <c r="B300" s="7"/>
      <c r="C300" s="7"/>
      <c r="D300" s="7"/>
      <c r="E300" s="8"/>
      <c r="F300" s="7"/>
      <c r="G300" s="8"/>
      <c r="H300" s="7"/>
      <c r="I300" s="8"/>
      <c r="J300" s="8"/>
      <c r="K300" s="8"/>
      <c r="L300" s="13"/>
      <c r="M300" s="8"/>
      <c r="N300" s="8"/>
      <c r="O300" s="8"/>
      <c r="P300" s="8"/>
      <c r="Q300" s="8"/>
      <c r="R300" s="7"/>
      <c r="S300" s="7"/>
      <c r="T300" s="7"/>
      <c r="U300" s="7"/>
      <c r="V300" s="7"/>
      <c r="W300" s="7"/>
      <c r="X300" s="7"/>
      <c r="Y300" s="7"/>
    </row>
    <row r="301" spans="1:25" ht="12.7">
      <c r="A301" s="7"/>
      <c r="B301" s="7"/>
      <c r="C301" s="7"/>
      <c r="D301" s="7"/>
      <c r="E301" s="8"/>
      <c r="F301" s="7"/>
      <c r="G301" s="8"/>
      <c r="H301" s="7"/>
      <c r="I301" s="8"/>
      <c r="J301" s="8"/>
      <c r="K301" s="8"/>
      <c r="L301" s="13"/>
      <c r="M301" s="8"/>
      <c r="N301" s="8"/>
      <c r="O301" s="8"/>
      <c r="P301" s="8"/>
      <c r="Q301" s="8"/>
      <c r="R301" s="7"/>
      <c r="S301" s="7"/>
      <c r="T301" s="7"/>
      <c r="U301" s="7"/>
      <c r="V301" s="7"/>
      <c r="W301" s="7"/>
      <c r="X301" s="7"/>
      <c r="Y301" s="7"/>
    </row>
    <row r="302" spans="1:25" ht="12.7">
      <c r="A302" s="7"/>
      <c r="B302" s="7"/>
      <c r="C302" s="7"/>
      <c r="D302" s="7"/>
      <c r="E302" s="8"/>
      <c r="F302" s="7"/>
      <c r="G302" s="8"/>
      <c r="H302" s="7"/>
      <c r="I302" s="8"/>
      <c r="J302" s="8"/>
      <c r="K302" s="8"/>
      <c r="L302" s="13"/>
      <c r="M302" s="8"/>
      <c r="N302" s="8"/>
      <c r="O302" s="8"/>
      <c r="P302" s="8"/>
      <c r="Q302" s="8"/>
      <c r="R302" s="7"/>
      <c r="S302" s="7"/>
      <c r="T302" s="7"/>
      <c r="U302" s="7"/>
      <c r="V302" s="7"/>
      <c r="W302" s="7"/>
      <c r="X302" s="7"/>
      <c r="Y302" s="7"/>
    </row>
    <row r="303" spans="1:25" ht="12.7">
      <c r="A303" s="7"/>
      <c r="B303" s="7"/>
      <c r="C303" s="7"/>
      <c r="D303" s="7"/>
      <c r="E303" s="8"/>
      <c r="F303" s="7"/>
      <c r="G303" s="8"/>
      <c r="H303" s="7"/>
      <c r="I303" s="8"/>
      <c r="J303" s="8"/>
      <c r="K303" s="8"/>
      <c r="L303" s="13"/>
      <c r="M303" s="8"/>
      <c r="N303" s="8"/>
      <c r="O303" s="8"/>
      <c r="P303" s="8"/>
      <c r="Q303" s="8"/>
      <c r="R303" s="7"/>
      <c r="S303" s="7"/>
      <c r="T303" s="7"/>
      <c r="U303" s="7"/>
      <c r="V303" s="7"/>
      <c r="W303" s="7"/>
      <c r="X303" s="7"/>
      <c r="Y303" s="7"/>
    </row>
    <row r="304" spans="1:25" ht="12.7">
      <c r="A304" s="7"/>
      <c r="B304" s="7"/>
      <c r="C304" s="7"/>
      <c r="D304" s="7"/>
      <c r="E304" s="8"/>
      <c r="F304" s="7"/>
      <c r="G304" s="8"/>
      <c r="H304" s="7"/>
      <c r="I304" s="8"/>
      <c r="J304" s="8"/>
      <c r="K304" s="8"/>
      <c r="L304" s="13"/>
      <c r="M304" s="8"/>
      <c r="N304" s="8"/>
      <c r="O304" s="8"/>
      <c r="P304" s="8"/>
      <c r="Q304" s="8"/>
      <c r="R304" s="7"/>
      <c r="S304" s="7"/>
      <c r="T304" s="7"/>
      <c r="U304" s="7"/>
      <c r="V304" s="7"/>
      <c r="W304" s="7"/>
      <c r="X304" s="7"/>
      <c r="Y304" s="7"/>
    </row>
    <row r="305" spans="1:25" ht="12.7">
      <c r="A305" s="7"/>
      <c r="B305" s="7"/>
      <c r="C305" s="7"/>
      <c r="D305" s="7"/>
      <c r="E305" s="8"/>
      <c r="F305" s="7"/>
      <c r="G305" s="8"/>
      <c r="H305" s="7"/>
      <c r="I305" s="8"/>
      <c r="J305" s="8"/>
      <c r="K305" s="8"/>
      <c r="L305" s="13"/>
      <c r="M305" s="8"/>
      <c r="N305" s="8"/>
      <c r="O305" s="8"/>
      <c r="P305" s="8"/>
      <c r="Q305" s="8"/>
      <c r="R305" s="7"/>
      <c r="S305" s="7"/>
      <c r="T305" s="7"/>
      <c r="U305" s="7"/>
      <c r="V305" s="7"/>
      <c r="W305" s="7"/>
      <c r="X305" s="7"/>
      <c r="Y305" s="7"/>
    </row>
    <row r="306" spans="1:25" ht="12.7">
      <c r="A306" s="7"/>
      <c r="B306" s="7"/>
      <c r="C306" s="7"/>
      <c r="D306" s="7"/>
      <c r="E306" s="8"/>
      <c r="F306" s="7"/>
      <c r="G306" s="8"/>
      <c r="H306" s="7"/>
      <c r="I306" s="8"/>
      <c r="J306" s="8"/>
      <c r="K306" s="8"/>
      <c r="L306" s="13"/>
      <c r="M306" s="8"/>
      <c r="N306" s="8"/>
      <c r="O306" s="8"/>
      <c r="P306" s="8"/>
      <c r="Q306" s="8"/>
      <c r="R306" s="7"/>
      <c r="S306" s="7"/>
      <c r="T306" s="7"/>
      <c r="U306" s="7"/>
      <c r="V306" s="7"/>
      <c r="W306" s="7"/>
      <c r="X306" s="7"/>
      <c r="Y306" s="7"/>
    </row>
    <row r="307" spans="1:25" ht="12.7">
      <c r="A307" s="7"/>
      <c r="B307" s="7"/>
      <c r="C307" s="7"/>
      <c r="D307" s="7"/>
      <c r="E307" s="8"/>
      <c r="F307" s="7"/>
      <c r="G307" s="8"/>
      <c r="H307" s="7"/>
      <c r="I307" s="8"/>
      <c r="J307" s="8"/>
      <c r="K307" s="8"/>
      <c r="L307" s="13"/>
      <c r="M307" s="8"/>
      <c r="N307" s="8"/>
      <c r="O307" s="8"/>
      <c r="P307" s="8"/>
      <c r="Q307" s="8"/>
      <c r="R307" s="7"/>
      <c r="S307" s="7"/>
      <c r="T307" s="7"/>
      <c r="U307" s="7"/>
      <c r="V307" s="7"/>
      <c r="W307" s="7"/>
      <c r="X307" s="7"/>
      <c r="Y307" s="7"/>
    </row>
    <row r="308" spans="1:25" ht="12.7">
      <c r="A308" s="7"/>
      <c r="B308" s="7"/>
      <c r="C308" s="7"/>
      <c r="D308" s="7"/>
      <c r="E308" s="8"/>
      <c r="F308" s="7"/>
      <c r="G308" s="8"/>
      <c r="H308" s="7"/>
      <c r="I308" s="8"/>
      <c r="J308" s="8"/>
      <c r="K308" s="8"/>
      <c r="L308" s="13"/>
      <c r="M308" s="8"/>
      <c r="N308" s="8"/>
      <c r="O308" s="8"/>
      <c r="P308" s="8"/>
      <c r="Q308" s="8"/>
      <c r="R308" s="7"/>
      <c r="S308" s="7"/>
      <c r="T308" s="7"/>
      <c r="U308" s="7"/>
      <c r="V308" s="7"/>
      <c r="W308" s="7"/>
      <c r="X308" s="7"/>
      <c r="Y308" s="7"/>
    </row>
    <row r="309" spans="1:25" ht="12.7">
      <c r="E309" s="1"/>
      <c r="G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25" ht="12.7">
      <c r="E310" s="1"/>
      <c r="G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25" ht="12.7">
      <c r="E311" s="1"/>
      <c r="G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25" ht="12.7">
      <c r="E312" s="1"/>
      <c r="G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25" ht="12.7">
      <c r="E313" s="1"/>
      <c r="G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25" ht="12.7">
      <c r="E314" s="1"/>
      <c r="G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25" ht="12.7">
      <c r="E315" s="1"/>
      <c r="G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25" ht="12.7">
      <c r="E316" s="1"/>
      <c r="G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25" ht="12.7">
      <c r="E317" s="1"/>
      <c r="G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25" ht="12.7">
      <c r="E318" s="1"/>
      <c r="G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25" ht="12.7">
      <c r="E319" s="1"/>
      <c r="G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25" ht="12.7">
      <c r="E320" s="1"/>
      <c r="G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5:17" ht="12.7">
      <c r="E321" s="1"/>
      <c r="G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5:17" ht="12.7">
      <c r="E322" s="1"/>
      <c r="G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5:17" ht="12.7">
      <c r="E323" s="1"/>
      <c r="G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5:17" ht="12.7">
      <c r="E324" s="1"/>
      <c r="G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5:17" ht="12.7">
      <c r="E325" s="1"/>
      <c r="G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5:17" ht="12.7">
      <c r="E326" s="1"/>
      <c r="G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5:17" ht="12.7">
      <c r="E327" s="1"/>
      <c r="G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5:17" ht="12.7">
      <c r="E328" s="1"/>
      <c r="G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5:17" ht="12.7">
      <c r="E329" s="1"/>
      <c r="G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5:17" ht="12.7">
      <c r="E330" s="1"/>
      <c r="G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5:17" ht="12.7">
      <c r="E331" s="1"/>
      <c r="G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5:17" ht="12.7">
      <c r="E332" s="1"/>
      <c r="G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5:17" ht="12.7">
      <c r="E333" s="1"/>
      <c r="G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5:17" ht="12.7">
      <c r="E334" s="1"/>
      <c r="G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5:17" ht="12.7">
      <c r="E335" s="1"/>
      <c r="G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5:17" ht="12.7">
      <c r="E336" s="1"/>
      <c r="G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5:17" ht="12.7">
      <c r="E337" s="1"/>
      <c r="G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5:17" ht="12.7">
      <c r="E338" s="1"/>
      <c r="G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5:17" ht="12.7">
      <c r="E339" s="1"/>
      <c r="G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5:17" ht="12.7">
      <c r="E340" s="1"/>
      <c r="G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5:17" ht="12.7">
      <c r="E341" s="1"/>
      <c r="G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5:17" ht="12.7">
      <c r="E342" s="1"/>
      <c r="G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5:17" ht="12.7">
      <c r="E343" s="1"/>
      <c r="G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5:17" ht="12.7">
      <c r="E344" s="1"/>
      <c r="G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5:17" ht="12.7">
      <c r="E345" s="1"/>
      <c r="G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5:17" ht="12.7">
      <c r="E346" s="1"/>
      <c r="G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5:17" ht="12.7">
      <c r="E347" s="1"/>
      <c r="G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5:17" ht="12.7">
      <c r="E348" s="1"/>
      <c r="G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5:17" ht="12.7">
      <c r="E349" s="1"/>
      <c r="G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5:17" ht="12.7">
      <c r="E350" s="1"/>
      <c r="G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5:17" ht="12.7">
      <c r="E351" s="1"/>
      <c r="G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5:17" ht="12.7">
      <c r="E352" s="1"/>
      <c r="G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5:17" ht="12.7">
      <c r="E353" s="1"/>
      <c r="G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5:17" ht="12.7">
      <c r="E354" s="1"/>
      <c r="G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5:17" ht="12.7">
      <c r="E355" s="1"/>
      <c r="G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5:17" ht="12.7">
      <c r="E356" s="1"/>
      <c r="G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5:17" ht="12.7">
      <c r="E357" s="1"/>
      <c r="G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5:17" ht="12.7">
      <c r="E358" s="1"/>
      <c r="G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5:17" ht="12.7">
      <c r="E359" s="1"/>
      <c r="G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5:17" ht="12.7">
      <c r="E360" s="1"/>
      <c r="G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5:17" ht="12.7">
      <c r="E361" s="1"/>
      <c r="G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5:17" ht="12.7">
      <c r="E362" s="1"/>
      <c r="G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5:17" ht="12.7">
      <c r="E363" s="1"/>
      <c r="G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5:17" ht="12.7">
      <c r="E364" s="1"/>
      <c r="G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5:17" ht="12.7">
      <c r="E365" s="1"/>
      <c r="G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5:17" ht="12.7">
      <c r="E366" s="1"/>
      <c r="G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5:17" ht="12.7">
      <c r="E367" s="1"/>
      <c r="G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5:17" ht="12.7">
      <c r="E368" s="1"/>
      <c r="G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5:17" ht="12.7">
      <c r="E369" s="1"/>
      <c r="G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5:17" ht="12.7">
      <c r="E370" s="1"/>
      <c r="G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5:17" ht="12.7">
      <c r="E371" s="1"/>
      <c r="G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5:17" ht="12.7">
      <c r="E372" s="1"/>
      <c r="G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5:17" ht="12.7">
      <c r="E373" s="1"/>
      <c r="G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5:17" ht="12.7">
      <c r="E374" s="1"/>
      <c r="G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5:17" ht="12.7">
      <c r="E375" s="1"/>
      <c r="G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5:17" ht="12.7">
      <c r="E376" s="1"/>
      <c r="G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5:17" ht="12.7">
      <c r="E377" s="1"/>
      <c r="G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5:17" ht="12.7">
      <c r="E378" s="1"/>
      <c r="G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5:17" ht="12.7">
      <c r="E379" s="1"/>
      <c r="G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5:17" ht="12.7">
      <c r="E380" s="1"/>
      <c r="G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5:17" ht="12.7">
      <c r="E381" s="1"/>
      <c r="G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5:17" ht="12.7">
      <c r="E382" s="1"/>
      <c r="G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5:17" ht="12.7">
      <c r="E383" s="1"/>
      <c r="G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5:17" ht="12.7">
      <c r="E384" s="1"/>
      <c r="G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5:17" ht="12.7">
      <c r="E385" s="1"/>
      <c r="G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5:17" ht="12.7">
      <c r="E386" s="1"/>
      <c r="G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5:17" ht="12.7">
      <c r="E387" s="1"/>
      <c r="G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5:17" ht="12.7">
      <c r="E388" s="1"/>
      <c r="G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5:17" ht="12.7">
      <c r="E389" s="1"/>
      <c r="G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5:17" ht="12.7">
      <c r="E390" s="1"/>
      <c r="G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5:17" ht="12.7">
      <c r="E391" s="1"/>
      <c r="G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5:17" ht="12.7">
      <c r="E392" s="1"/>
      <c r="G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5:17" ht="12.7">
      <c r="E393" s="1"/>
      <c r="G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5:17" ht="12.7">
      <c r="E394" s="1"/>
      <c r="G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5:17" ht="12.7">
      <c r="E395" s="1"/>
      <c r="G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5:17" ht="12.7">
      <c r="E396" s="1"/>
      <c r="G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5:17" ht="12.7">
      <c r="E397" s="1"/>
      <c r="G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5:17" ht="12.7">
      <c r="E398" s="1"/>
      <c r="G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5:17" ht="12.7">
      <c r="E399" s="1"/>
      <c r="G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5:17" ht="12.7">
      <c r="E400" s="1"/>
      <c r="G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5:17" ht="12.7">
      <c r="E401" s="1"/>
      <c r="G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5:17" ht="12.7">
      <c r="E402" s="1"/>
      <c r="G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5:17" ht="12.7">
      <c r="E403" s="1"/>
      <c r="G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5:17" ht="12.7">
      <c r="E404" s="1"/>
      <c r="G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5:17" ht="12.7">
      <c r="E405" s="1"/>
      <c r="G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5:17" ht="12.7">
      <c r="E406" s="1"/>
      <c r="G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5:17" ht="12.7">
      <c r="E407" s="1"/>
      <c r="G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5:17" ht="12.7">
      <c r="E408" s="1"/>
      <c r="G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5:17" ht="12.7">
      <c r="E409" s="1"/>
      <c r="G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5:17" ht="12.7">
      <c r="E410" s="1"/>
      <c r="G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5:17" ht="12.7">
      <c r="E411" s="1"/>
      <c r="G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5:17" ht="12.7">
      <c r="E412" s="1"/>
      <c r="G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5:17" ht="12.7">
      <c r="E413" s="1"/>
      <c r="G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5:17" ht="12.7">
      <c r="E414" s="1"/>
      <c r="G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5:17" ht="12.7">
      <c r="E415" s="1"/>
      <c r="G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5:17" ht="12.7">
      <c r="E416" s="1"/>
      <c r="G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5:17" ht="12.7">
      <c r="E417" s="1"/>
      <c r="G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5:17" ht="12.7">
      <c r="E418" s="1"/>
      <c r="G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5:17" ht="12.7">
      <c r="E419" s="1"/>
      <c r="G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5:17" ht="12.7">
      <c r="E420" s="1"/>
      <c r="G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5:17" ht="12.7">
      <c r="E421" s="1"/>
      <c r="G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5:17" ht="12.7">
      <c r="E422" s="1"/>
      <c r="G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5:17" ht="12.7">
      <c r="E423" s="1"/>
      <c r="G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5:17" ht="12.7">
      <c r="E424" s="1"/>
      <c r="G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5:17" ht="12.7">
      <c r="E425" s="1"/>
      <c r="G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5:17" ht="12.7">
      <c r="E426" s="1"/>
      <c r="G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5:17" ht="12.7">
      <c r="E427" s="1"/>
      <c r="G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5:17" ht="12.7">
      <c r="E428" s="1"/>
      <c r="G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5:17" ht="12.7">
      <c r="E429" s="1"/>
      <c r="G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5:17" ht="12.7">
      <c r="E430" s="1"/>
      <c r="G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5:17" ht="12.7">
      <c r="E431" s="1"/>
      <c r="G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5:17" ht="12.7">
      <c r="E432" s="1"/>
      <c r="G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5:17" ht="12.7">
      <c r="E433" s="1"/>
      <c r="G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5:17" ht="12.7">
      <c r="E434" s="1"/>
      <c r="G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5:17" ht="12.7">
      <c r="E435" s="1"/>
      <c r="G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5:17" ht="12.7">
      <c r="E436" s="1"/>
      <c r="G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5:17" ht="12.7">
      <c r="E437" s="1"/>
      <c r="G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5:17" ht="12.7">
      <c r="E438" s="1"/>
      <c r="G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5:17" ht="12.7">
      <c r="E439" s="1"/>
      <c r="G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5:17" ht="12.7">
      <c r="E440" s="1"/>
      <c r="G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5:17" ht="12.7">
      <c r="E441" s="1"/>
      <c r="G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5:17" ht="12.7">
      <c r="E442" s="1"/>
      <c r="G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5:17" ht="12.7">
      <c r="E443" s="1"/>
      <c r="G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5:17" ht="12.7">
      <c r="E444" s="1"/>
      <c r="G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5:17" ht="12.7">
      <c r="E445" s="1"/>
      <c r="G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5:17" ht="12.7">
      <c r="E446" s="1"/>
      <c r="G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5:17" ht="12.7">
      <c r="E447" s="1"/>
      <c r="G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5:17" ht="12.7">
      <c r="E448" s="1"/>
      <c r="G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5:17" ht="12.7">
      <c r="E449" s="1"/>
      <c r="G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5:17" ht="12.7">
      <c r="E450" s="1"/>
      <c r="G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5:17" ht="12.7">
      <c r="E451" s="1"/>
      <c r="G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5:17" ht="12.7">
      <c r="E452" s="1"/>
      <c r="G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5:17" ht="12.7">
      <c r="E453" s="1"/>
      <c r="G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5:17" ht="12.7">
      <c r="E454" s="1"/>
      <c r="G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5:17" ht="12.7">
      <c r="E455" s="1"/>
      <c r="G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5:17" ht="12.7">
      <c r="E456" s="1"/>
      <c r="G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5:17" ht="12.7">
      <c r="E457" s="1"/>
      <c r="G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5:17" ht="12.7">
      <c r="E458" s="1"/>
      <c r="G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5:17" ht="12.7">
      <c r="E459" s="1"/>
      <c r="G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5:17" ht="12.7">
      <c r="E460" s="1"/>
      <c r="G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5:17" ht="12.7">
      <c r="E461" s="1"/>
      <c r="G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5:17" ht="12.7">
      <c r="E462" s="1"/>
      <c r="G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5:17" ht="12.7">
      <c r="E463" s="1"/>
      <c r="G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5:17" ht="12.7">
      <c r="E464" s="1"/>
      <c r="G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5:17" ht="12.7">
      <c r="E465" s="1"/>
      <c r="G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5:17" ht="12.7">
      <c r="E466" s="1"/>
      <c r="G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5:17" ht="12.7">
      <c r="E467" s="1"/>
      <c r="G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5:17" ht="12.7">
      <c r="E468" s="1"/>
      <c r="G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5:17" ht="12.7">
      <c r="E469" s="1"/>
      <c r="G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5:17" ht="12.7">
      <c r="E470" s="1"/>
      <c r="G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5:17" ht="12.7">
      <c r="E471" s="1"/>
      <c r="G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5:17" ht="12.7">
      <c r="E472" s="1"/>
      <c r="G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5:17" ht="12.7">
      <c r="E473" s="1"/>
      <c r="G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5:17" ht="12.7">
      <c r="E474" s="1"/>
      <c r="G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5:17" ht="12.7">
      <c r="E475" s="1"/>
      <c r="G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5:17" ht="12.7">
      <c r="E476" s="1"/>
      <c r="G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5:17" ht="12.7">
      <c r="E477" s="1"/>
      <c r="G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5:17" ht="12.7">
      <c r="E478" s="1"/>
      <c r="G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5:17" ht="12.7">
      <c r="E479" s="1"/>
      <c r="G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5:17" ht="12.7">
      <c r="E480" s="1"/>
      <c r="G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5:17" ht="12.7">
      <c r="E481" s="1"/>
      <c r="G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5:17" ht="12.7">
      <c r="E482" s="1"/>
      <c r="G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5:17" ht="12.7">
      <c r="E483" s="1"/>
      <c r="G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5:17" ht="12.7">
      <c r="E484" s="1"/>
      <c r="G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5:17" ht="12.7">
      <c r="E485" s="1"/>
      <c r="G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5:17" ht="12.7">
      <c r="E486" s="1"/>
      <c r="G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5:17" ht="12.7">
      <c r="E487" s="1"/>
      <c r="G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5:17" ht="12.7">
      <c r="E488" s="1"/>
      <c r="G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5:17" ht="12.7">
      <c r="E489" s="1"/>
      <c r="G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5:17" ht="12.7">
      <c r="E490" s="1"/>
      <c r="G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5:17" ht="12.7">
      <c r="E491" s="1"/>
      <c r="G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5:17" ht="12.7">
      <c r="E492" s="1"/>
      <c r="G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5:17" ht="12.7">
      <c r="E493" s="1"/>
      <c r="G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5:17" ht="12.7">
      <c r="E494" s="1"/>
      <c r="G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5:17" ht="12.7">
      <c r="E495" s="1"/>
      <c r="G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5:17" ht="12.7">
      <c r="E496" s="1"/>
      <c r="G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5:17" ht="12.7">
      <c r="E497" s="1"/>
      <c r="G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5:17" ht="12.7">
      <c r="E498" s="1"/>
      <c r="G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5:17" ht="12.7">
      <c r="E499" s="1"/>
      <c r="G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5:17" ht="12.7">
      <c r="E500" s="1"/>
      <c r="G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5:17" ht="12.7">
      <c r="E501" s="1"/>
      <c r="G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5:17" ht="12.7">
      <c r="E502" s="1"/>
      <c r="G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5:17" ht="12.7">
      <c r="E503" s="1"/>
      <c r="G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5:17" ht="12.7">
      <c r="E504" s="1"/>
      <c r="G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5:17" ht="12.7">
      <c r="E505" s="1"/>
      <c r="G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5:17" ht="12.7">
      <c r="E506" s="1"/>
      <c r="G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5:17" ht="12.7">
      <c r="E507" s="1"/>
      <c r="G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5:17" ht="12.7">
      <c r="E508" s="1"/>
      <c r="G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5:17" ht="12.7">
      <c r="E509" s="1"/>
      <c r="G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5:17" ht="12.7">
      <c r="E510" s="1"/>
      <c r="G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5:17" ht="12.7">
      <c r="E511" s="1"/>
      <c r="G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5:17" ht="12.7">
      <c r="E512" s="1"/>
      <c r="G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5:17" ht="12.7">
      <c r="E513" s="1"/>
      <c r="G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5:17" ht="12.7">
      <c r="E514" s="1"/>
      <c r="G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5:17" ht="12.7">
      <c r="E515" s="1"/>
      <c r="G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5:17" ht="12.7">
      <c r="E516" s="1"/>
      <c r="G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5:17" ht="12.7">
      <c r="E517" s="1"/>
      <c r="G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5:17" ht="12.7">
      <c r="E518" s="1"/>
      <c r="G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5:17" ht="12.7">
      <c r="E519" s="1"/>
      <c r="G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5:17" ht="12.7">
      <c r="E520" s="1"/>
      <c r="G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5:17" ht="12.7">
      <c r="E521" s="1"/>
      <c r="G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5:17" ht="12.7">
      <c r="E522" s="1"/>
      <c r="G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5:17" ht="12.7">
      <c r="E523" s="1"/>
      <c r="G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5:17" ht="12.7">
      <c r="E524" s="1"/>
      <c r="G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5:17" ht="12.7">
      <c r="E525" s="1"/>
      <c r="G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5:17" ht="12.7">
      <c r="E526" s="1"/>
      <c r="G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5:17" ht="12.7">
      <c r="E527" s="1"/>
      <c r="G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5:17" ht="12.7">
      <c r="E528" s="1"/>
      <c r="G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5:17" ht="12.7">
      <c r="E529" s="1"/>
      <c r="G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5:17" ht="12.7">
      <c r="E530" s="1"/>
      <c r="G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5:17" ht="12.7">
      <c r="E531" s="1"/>
      <c r="G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5:17" ht="12.7">
      <c r="E532" s="1"/>
      <c r="G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5:17" ht="12.7">
      <c r="E533" s="1"/>
      <c r="G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5:17" ht="12.7">
      <c r="E534" s="1"/>
      <c r="G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5:17" ht="12.7">
      <c r="E535" s="1"/>
      <c r="G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5:17" ht="12.7">
      <c r="E536" s="1"/>
      <c r="G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5:17" ht="12.7">
      <c r="E537" s="1"/>
      <c r="G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5:17" ht="12.7">
      <c r="E538" s="1"/>
      <c r="G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5:17" ht="12.7">
      <c r="E539" s="1"/>
      <c r="G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5:17" ht="12.7">
      <c r="E540" s="1"/>
      <c r="G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5:17" ht="12.7">
      <c r="E541" s="1"/>
      <c r="G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5:17" ht="12.7">
      <c r="E542" s="1"/>
      <c r="G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5:17" ht="12.7">
      <c r="E543" s="1"/>
      <c r="G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5:17" ht="12.7">
      <c r="E544" s="1"/>
      <c r="G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5:17" ht="12.7">
      <c r="E545" s="1"/>
      <c r="G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5:17" ht="12.7">
      <c r="E546" s="1"/>
      <c r="G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5:17" ht="12.7">
      <c r="E547" s="1"/>
      <c r="G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5:17" ht="12.7">
      <c r="E548" s="1"/>
      <c r="G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5:17" ht="12.7">
      <c r="E549" s="1"/>
      <c r="G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5:17" ht="12.7">
      <c r="E550" s="1"/>
      <c r="G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5:17" ht="12.7">
      <c r="E551" s="1"/>
      <c r="G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5:17" ht="12.7">
      <c r="E552" s="1"/>
      <c r="G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5:17" ht="12.7">
      <c r="E553" s="1"/>
      <c r="G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5:17" ht="12.7">
      <c r="E554" s="1"/>
      <c r="G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5:17" ht="12.7">
      <c r="E555" s="1"/>
      <c r="G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5:17" ht="12.7">
      <c r="E556" s="1"/>
      <c r="G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5:17" ht="12.7">
      <c r="E557" s="1"/>
      <c r="G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5:17" ht="12.7">
      <c r="E558" s="1"/>
      <c r="G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5:17" ht="12.7">
      <c r="E559" s="1"/>
      <c r="G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5:17" ht="12.7">
      <c r="E560" s="1"/>
      <c r="G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5:17" ht="12.7">
      <c r="E561" s="1"/>
      <c r="G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5:17" ht="12.7">
      <c r="E562" s="1"/>
      <c r="G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5:17" ht="12.7">
      <c r="E563" s="1"/>
      <c r="G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5:17" ht="12.7">
      <c r="E564" s="1"/>
      <c r="G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5:17" ht="12.7">
      <c r="E565" s="1"/>
      <c r="G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5:17" ht="12.7">
      <c r="E566" s="1"/>
      <c r="G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5:17" ht="12.7">
      <c r="E567" s="1"/>
      <c r="G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5:17" ht="12.7">
      <c r="E568" s="1"/>
      <c r="G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5:17" ht="12.7">
      <c r="E569" s="1"/>
      <c r="G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5:17" ht="12.7">
      <c r="E570" s="1"/>
      <c r="G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5:17" ht="12.7">
      <c r="E571" s="1"/>
      <c r="G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5:17" ht="12.7">
      <c r="E572" s="1"/>
      <c r="G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5:17" ht="12.7">
      <c r="E573" s="1"/>
      <c r="G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5:17" ht="12.7">
      <c r="E574" s="1"/>
      <c r="G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5:17" ht="12.7">
      <c r="E575" s="1"/>
      <c r="G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5:17" ht="12.7">
      <c r="E576" s="1"/>
      <c r="G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5:17" ht="12.7">
      <c r="E577" s="1"/>
      <c r="G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5:17" ht="12.7">
      <c r="E578" s="1"/>
      <c r="G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5:17" ht="12.7">
      <c r="E579" s="1"/>
      <c r="G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5:17" ht="12.7">
      <c r="E580" s="1"/>
      <c r="G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5:17" ht="12.7">
      <c r="E581" s="1"/>
      <c r="G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5:17" ht="12.7">
      <c r="E582" s="1"/>
      <c r="G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5:17" ht="12.7">
      <c r="E583" s="1"/>
      <c r="G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5:17" ht="12.7">
      <c r="E584" s="1"/>
      <c r="G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5:17" ht="12.7">
      <c r="E585" s="1"/>
      <c r="G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5:17" ht="12.7">
      <c r="E586" s="1"/>
      <c r="G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5:17" ht="12.7">
      <c r="E587" s="1"/>
      <c r="G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5:17" ht="12.7">
      <c r="E588" s="1"/>
      <c r="G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5:17" ht="12.7">
      <c r="E589" s="1"/>
      <c r="G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5:17" ht="12.7">
      <c r="E590" s="1"/>
      <c r="G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5:17" ht="12.7">
      <c r="E591" s="1"/>
      <c r="G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5:17" ht="12.7">
      <c r="E592" s="1"/>
      <c r="G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5:17" ht="12.7">
      <c r="E593" s="1"/>
      <c r="G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5:17" ht="12.7">
      <c r="E594" s="1"/>
      <c r="G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5:17" ht="12.7">
      <c r="E595" s="1"/>
      <c r="G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5:17" ht="12.7">
      <c r="E596" s="1"/>
      <c r="G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5:17" ht="12.7">
      <c r="E597" s="1"/>
      <c r="G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5:17" ht="12.7">
      <c r="E598" s="1"/>
      <c r="G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5:17" ht="12.7">
      <c r="E599" s="1"/>
      <c r="G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5:17" ht="12.7">
      <c r="E600" s="1"/>
      <c r="G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5:17" ht="12.7">
      <c r="E601" s="1"/>
      <c r="G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5:17" ht="12.7">
      <c r="E602" s="1"/>
      <c r="G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5:17" ht="12.7">
      <c r="E603" s="1"/>
      <c r="G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5:17" ht="12.7">
      <c r="E604" s="1"/>
      <c r="G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5:17" ht="12.7">
      <c r="E605" s="1"/>
      <c r="G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5:17" ht="12.7">
      <c r="E606" s="1"/>
      <c r="G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5:17" ht="12.7">
      <c r="E607" s="1"/>
      <c r="G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5:17" ht="12.7">
      <c r="E608" s="1"/>
      <c r="G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5:17" ht="12.7">
      <c r="E609" s="1"/>
      <c r="G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5:17" ht="12.7">
      <c r="E610" s="1"/>
      <c r="G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5:17" ht="12.7">
      <c r="E611" s="1"/>
      <c r="G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5:17" ht="12.7">
      <c r="E612" s="1"/>
      <c r="G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5:17" ht="12.7">
      <c r="E613" s="1"/>
      <c r="G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5:17" ht="12.7">
      <c r="E614" s="1"/>
      <c r="G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5:17" ht="12.7">
      <c r="E615" s="1"/>
      <c r="G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5:17" ht="12.7">
      <c r="E616" s="1"/>
      <c r="G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5:17" ht="12.7">
      <c r="E617" s="1"/>
      <c r="G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5:17" ht="12.7">
      <c r="E618" s="1"/>
      <c r="G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5:17" ht="12.7">
      <c r="E619" s="1"/>
      <c r="G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5:17" ht="12.7">
      <c r="E620" s="1"/>
      <c r="G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5:17" ht="12.7">
      <c r="E621" s="1"/>
      <c r="G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5:17" ht="12.7">
      <c r="E622" s="1"/>
      <c r="G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5:17" ht="12.7">
      <c r="E623" s="1"/>
      <c r="G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5:17" ht="12.7">
      <c r="E624" s="1"/>
      <c r="G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5:17" ht="12.7">
      <c r="E625" s="1"/>
      <c r="G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5:17" ht="12.7">
      <c r="E626" s="1"/>
      <c r="G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5:17" ht="12.7">
      <c r="E627" s="1"/>
      <c r="G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5:17" ht="12.7">
      <c r="E628" s="1"/>
      <c r="G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5:17" ht="12.7">
      <c r="E629" s="1"/>
      <c r="G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5:17" ht="12.7">
      <c r="E630" s="1"/>
      <c r="G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5:17" ht="12.7">
      <c r="E631" s="1"/>
      <c r="G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5:17" ht="12.7">
      <c r="E632" s="1"/>
      <c r="G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5:17" ht="12.7">
      <c r="E633" s="1"/>
      <c r="G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5:17" ht="12.7">
      <c r="E634" s="1"/>
      <c r="G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5:17" ht="12.7">
      <c r="E635" s="1"/>
      <c r="G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5:17" ht="12.7">
      <c r="E636" s="1"/>
      <c r="G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5:17" ht="12.7">
      <c r="E637" s="1"/>
      <c r="G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5:17" ht="12.7">
      <c r="E638" s="1"/>
      <c r="G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5:17" ht="12.7">
      <c r="E639" s="1"/>
      <c r="G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5:17" ht="12.7">
      <c r="E640" s="1"/>
      <c r="G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5:17" ht="12.7">
      <c r="E641" s="1"/>
      <c r="G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5:17" ht="12.7">
      <c r="E642" s="1"/>
      <c r="G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5:17" ht="12.7">
      <c r="E643" s="1"/>
      <c r="G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5:17" ht="12.7">
      <c r="E644" s="1"/>
      <c r="G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5:17" ht="12.7">
      <c r="E645" s="1"/>
      <c r="G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5:17" ht="12.7">
      <c r="E646" s="1"/>
      <c r="G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5:17" ht="12.7">
      <c r="E647" s="1"/>
      <c r="G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5:17" ht="12.7">
      <c r="E648" s="1"/>
      <c r="G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5:17" ht="12.7">
      <c r="E649" s="1"/>
      <c r="G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5:17" ht="12.7">
      <c r="E650" s="1"/>
      <c r="G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5:17" ht="12.7">
      <c r="E651" s="1"/>
      <c r="G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5:17" ht="12.7">
      <c r="E652" s="1"/>
      <c r="G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5:17" ht="12.7">
      <c r="E653" s="1"/>
      <c r="G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5:17" ht="12.7">
      <c r="E654" s="1"/>
      <c r="G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5:17" ht="12.7">
      <c r="E655" s="1"/>
      <c r="G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5:17" ht="12.7">
      <c r="E656" s="1"/>
      <c r="G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5:17" ht="12.7">
      <c r="E657" s="1"/>
      <c r="G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5:17" ht="12.7">
      <c r="E658" s="1"/>
      <c r="G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5:17" ht="12.7">
      <c r="E659" s="1"/>
      <c r="G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5:17" ht="12.7">
      <c r="E660" s="1"/>
      <c r="G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5:17" ht="12.7">
      <c r="E661" s="1"/>
      <c r="G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5:17" ht="12.7">
      <c r="E662" s="1"/>
      <c r="G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5:17" ht="12.7">
      <c r="E663" s="1"/>
      <c r="G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5:17" ht="12.7">
      <c r="E664" s="1"/>
      <c r="G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5:17" ht="12.7">
      <c r="E665" s="1"/>
      <c r="G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5:17" ht="12.7">
      <c r="E666" s="1"/>
      <c r="G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5:17" ht="12.7">
      <c r="E667" s="1"/>
      <c r="G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5:17" ht="12.7">
      <c r="E668" s="1"/>
      <c r="G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5:17" ht="12.7">
      <c r="E669" s="1"/>
      <c r="G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5:17" ht="12.7">
      <c r="E670" s="1"/>
      <c r="G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5:17" ht="12.7">
      <c r="E671" s="1"/>
      <c r="G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5:17" ht="12.7">
      <c r="E672" s="1"/>
      <c r="G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5:17" ht="12.7">
      <c r="E673" s="1"/>
      <c r="G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5:17" ht="12.7">
      <c r="E674" s="1"/>
      <c r="G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5:17" ht="12.7">
      <c r="E675" s="1"/>
      <c r="G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5:17" ht="12.7">
      <c r="E676" s="1"/>
      <c r="G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5:17" ht="12.7">
      <c r="E677" s="1"/>
      <c r="G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5:17" ht="12.7">
      <c r="E678" s="1"/>
      <c r="G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5:17" ht="12.7">
      <c r="E679" s="1"/>
      <c r="G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5:17" ht="12.7">
      <c r="E680" s="1"/>
      <c r="G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5:17" ht="12.7">
      <c r="E681" s="1"/>
      <c r="G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5:17" ht="12.7">
      <c r="E682" s="1"/>
      <c r="G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5:17" ht="12.7">
      <c r="E683" s="1"/>
      <c r="G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5:17" ht="12.7">
      <c r="E684" s="1"/>
      <c r="G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5:17" ht="12.7">
      <c r="E685" s="1"/>
      <c r="G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5:17" ht="12.7">
      <c r="E686" s="1"/>
      <c r="G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5:17" ht="12.7">
      <c r="E687" s="1"/>
      <c r="G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5:17" ht="12.7">
      <c r="E688" s="1"/>
      <c r="G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5:17" ht="12.7">
      <c r="E689" s="1"/>
      <c r="G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5:17" ht="12.7">
      <c r="E690" s="1"/>
      <c r="G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5:17" ht="12.7">
      <c r="E691" s="1"/>
      <c r="G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5:17" ht="12.7">
      <c r="E692" s="1"/>
      <c r="G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5:17" ht="12.7">
      <c r="E693" s="1"/>
      <c r="G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5:17" ht="12.7">
      <c r="E694" s="1"/>
      <c r="G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5:17" ht="12.7">
      <c r="E695" s="1"/>
      <c r="G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5:17" ht="12.7">
      <c r="E696" s="1"/>
      <c r="G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5:17" ht="12.7">
      <c r="E697" s="1"/>
      <c r="G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5:17" ht="12.7">
      <c r="E698" s="1"/>
      <c r="G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5:17" ht="12.7">
      <c r="E699" s="1"/>
      <c r="G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5:17" ht="12.7">
      <c r="E700" s="1"/>
      <c r="G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5:17" ht="12.7">
      <c r="E701" s="1"/>
      <c r="G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5:17" ht="12.7">
      <c r="E702" s="1"/>
      <c r="G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5:17" ht="12.7">
      <c r="E703" s="1"/>
      <c r="G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5:17" ht="12.7">
      <c r="E704" s="1"/>
      <c r="G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5:17" ht="12.7">
      <c r="E705" s="1"/>
      <c r="G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5:17" ht="12.7">
      <c r="E706" s="1"/>
      <c r="G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5:17" ht="12.7">
      <c r="E707" s="1"/>
      <c r="G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5:17" ht="12.7">
      <c r="E708" s="1"/>
      <c r="G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5:17" ht="12.7">
      <c r="E709" s="1"/>
      <c r="G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5:17" ht="12.7">
      <c r="E710" s="1"/>
      <c r="G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5:17" ht="12.7">
      <c r="E711" s="1"/>
      <c r="G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5:17" ht="12.7">
      <c r="E712" s="1"/>
      <c r="G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5:17" ht="12.7">
      <c r="E713" s="1"/>
      <c r="G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5:17" ht="12.7">
      <c r="E714" s="1"/>
      <c r="G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5:17" ht="12.7">
      <c r="E715" s="1"/>
      <c r="G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5:17" ht="12.7">
      <c r="E716" s="1"/>
      <c r="G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5:17" ht="12.7">
      <c r="E717" s="1"/>
      <c r="G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5:17" ht="12.7">
      <c r="E718" s="1"/>
      <c r="G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5:17" ht="12.7">
      <c r="E719" s="1"/>
      <c r="G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5:17" ht="12.7">
      <c r="E720" s="1"/>
      <c r="G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5:17" ht="12.7">
      <c r="E721" s="1"/>
      <c r="G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5:17" ht="12.7">
      <c r="E722" s="1"/>
      <c r="G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5:17" ht="12.7">
      <c r="E723" s="1"/>
      <c r="G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5:17" ht="12.7">
      <c r="E724" s="1"/>
      <c r="G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5:17" ht="12.7">
      <c r="E725" s="1"/>
      <c r="G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5:17" ht="12.7">
      <c r="E726" s="1"/>
      <c r="G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5:17" ht="12.7">
      <c r="E727" s="1"/>
      <c r="G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5:17" ht="12.7">
      <c r="E728" s="1"/>
      <c r="G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5:17" ht="12.7">
      <c r="E729" s="1"/>
      <c r="G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5:17" ht="12.7">
      <c r="E730" s="1"/>
      <c r="G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5:17" ht="12.7">
      <c r="E731" s="1"/>
      <c r="G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5:17" ht="12.7">
      <c r="E732" s="1"/>
      <c r="G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5:17" ht="12.7">
      <c r="E733" s="1"/>
      <c r="G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5:17" ht="12.7">
      <c r="E734" s="1"/>
      <c r="G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5:17" ht="12.7">
      <c r="E735" s="1"/>
      <c r="G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5:17" ht="12.7">
      <c r="E736" s="1"/>
      <c r="G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5:17" ht="12.7">
      <c r="E737" s="1"/>
      <c r="G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5:17" ht="12.7">
      <c r="E738" s="1"/>
      <c r="G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5:17" ht="12.7">
      <c r="E739" s="1"/>
      <c r="G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5:17" ht="12.7">
      <c r="E740" s="1"/>
      <c r="G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5:17" ht="12.7">
      <c r="E741" s="1"/>
      <c r="G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5:17" ht="12.7">
      <c r="E742" s="1"/>
      <c r="G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5:17" ht="12.7">
      <c r="E743" s="1"/>
      <c r="G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5:17" ht="12.7">
      <c r="E744" s="1"/>
      <c r="G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5:17" ht="12.7">
      <c r="E745" s="1"/>
      <c r="G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5:17" ht="12.7">
      <c r="E746" s="1"/>
      <c r="G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5:17" ht="12.7">
      <c r="E747" s="1"/>
      <c r="G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5:17" ht="12.7">
      <c r="E748" s="1"/>
      <c r="G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5:17" ht="12.7">
      <c r="E749" s="1"/>
      <c r="G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5:17" ht="12.7">
      <c r="E750" s="1"/>
      <c r="G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5:17" ht="12.7">
      <c r="E751" s="1"/>
      <c r="G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5:17" ht="12.7">
      <c r="E752" s="1"/>
      <c r="G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5:17" ht="12.7">
      <c r="E753" s="1"/>
      <c r="G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5:17" ht="12.7">
      <c r="E754" s="1"/>
      <c r="G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5:17" ht="12.7">
      <c r="E755" s="1"/>
      <c r="G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5:17" ht="12.7">
      <c r="E756" s="1"/>
      <c r="G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5:17" ht="12.7">
      <c r="E757" s="1"/>
      <c r="G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5:17" ht="12.7">
      <c r="E758" s="1"/>
      <c r="G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5:17" ht="12.7">
      <c r="E759" s="1"/>
      <c r="G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5:17" ht="12.7">
      <c r="E760" s="1"/>
      <c r="G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5:17" ht="12.7">
      <c r="E761" s="1"/>
      <c r="G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5:17" ht="12.7">
      <c r="E762" s="1"/>
      <c r="G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5:17" ht="12.7">
      <c r="E763" s="1"/>
      <c r="G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5:17" ht="12.7">
      <c r="E764" s="1"/>
      <c r="G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5:17" ht="12.7">
      <c r="E765" s="1"/>
      <c r="G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5:17" ht="12.7">
      <c r="E766" s="1"/>
      <c r="G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5:17" ht="12.7">
      <c r="E767" s="1"/>
      <c r="G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5:17" ht="12.7">
      <c r="E768" s="1"/>
      <c r="G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5:17" ht="12.7">
      <c r="E769" s="1"/>
      <c r="G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5:17" ht="12.7">
      <c r="E770" s="1"/>
      <c r="G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5:17" ht="12.7">
      <c r="E771" s="1"/>
      <c r="G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5:17" ht="12.7">
      <c r="E772" s="1"/>
      <c r="G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5:17" ht="12.7">
      <c r="E773" s="1"/>
      <c r="G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5:17" ht="12.7">
      <c r="E774" s="1"/>
      <c r="G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5:17" ht="12.7">
      <c r="E775" s="1"/>
      <c r="G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5:17" ht="12.7">
      <c r="E776" s="1"/>
      <c r="G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5:17" ht="12.7">
      <c r="E777" s="1"/>
      <c r="G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5:17" ht="12.7">
      <c r="E778" s="1"/>
      <c r="G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5:17" ht="12.7">
      <c r="E779" s="1"/>
      <c r="G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5:17" ht="12.7">
      <c r="E780" s="1"/>
      <c r="G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5:17" ht="12.7">
      <c r="E781" s="1"/>
      <c r="G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5:17" ht="12.7">
      <c r="E782" s="1"/>
      <c r="G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5:17" ht="12.7">
      <c r="E783" s="1"/>
      <c r="G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5:17" ht="12.7">
      <c r="E784" s="1"/>
      <c r="G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5:17" ht="12.7">
      <c r="E785" s="1"/>
      <c r="G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5:17" ht="12.7">
      <c r="E786" s="1"/>
      <c r="G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5:17" ht="12.7">
      <c r="E787" s="1"/>
      <c r="G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5:17" ht="12.7">
      <c r="E788" s="1"/>
      <c r="G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5:17" ht="12.7">
      <c r="E789" s="1"/>
      <c r="G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5:17" ht="12.7">
      <c r="E790" s="1"/>
      <c r="G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5:17" ht="12.7">
      <c r="E791" s="1"/>
      <c r="G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5:17" ht="12.7">
      <c r="E792" s="1"/>
      <c r="G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5:17" ht="12.7">
      <c r="E793" s="1"/>
      <c r="G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5:17" ht="12.7">
      <c r="E794" s="1"/>
      <c r="G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5:17" ht="12.7">
      <c r="E795" s="1"/>
      <c r="G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5:17" ht="12.7">
      <c r="E796" s="1"/>
      <c r="G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5:17" ht="12.7">
      <c r="E797" s="1"/>
      <c r="G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5:17" ht="12.7">
      <c r="E798" s="1"/>
      <c r="G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5:17" ht="12.7">
      <c r="E799" s="1"/>
      <c r="G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5:17" ht="12.7">
      <c r="E800" s="1"/>
      <c r="G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5:17" ht="12.7">
      <c r="E801" s="1"/>
      <c r="G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5:17" ht="12.7">
      <c r="E802" s="1"/>
      <c r="G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5:17" ht="12.7">
      <c r="E803" s="1"/>
      <c r="G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5:17" ht="12.7">
      <c r="E804" s="1"/>
      <c r="G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5:17" ht="12.7">
      <c r="E805" s="1"/>
      <c r="G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5:17" ht="12.7">
      <c r="E806" s="1"/>
      <c r="G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5:17" ht="12.7">
      <c r="E807" s="1"/>
      <c r="G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5:17" ht="12.7">
      <c r="E808" s="1"/>
      <c r="G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5:17" ht="12.7">
      <c r="E809" s="1"/>
      <c r="G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5:17" ht="12.7">
      <c r="E810" s="1"/>
      <c r="G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5:17" ht="12.7">
      <c r="E811" s="1"/>
      <c r="G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5:17" ht="12.7">
      <c r="E812" s="1"/>
      <c r="G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5:17" ht="12.7">
      <c r="E813" s="1"/>
      <c r="G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5:17" ht="12.7">
      <c r="E814" s="1"/>
      <c r="G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5:17" ht="12.7">
      <c r="E815" s="1"/>
      <c r="G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5:17" ht="12.7">
      <c r="E816" s="1"/>
      <c r="G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5:17" ht="12.7">
      <c r="E817" s="1"/>
      <c r="G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5:17" ht="12.7">
      <c r="E818" s="1"/>
      <c r="G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5:17" ht="12.7">
      <c r="E819" s="1"/>
      <c r="G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5:17" ht="12.7">
      <c r="E820" s="1"/>
      <c r="G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5:17" ht="12.7">
      <c r="E821" s="1"/>
      <c r="G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5:17" ht="12.7">
      <c r="E822" s="1"/>
      <c r="G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5:17" ht="12.7">
      <c r="E823" s="1"/>
      <c r="G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5:17" ht="12.7">
      <c r="E824" s="1"/>
      <c r="G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5:17" ht="12.7">
      <c r="E825" s="1"/>
      <c r="G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5:17" ht="12.7">
      <c r="E826" s="1"/>
      <c r="G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5:17" ht="12.7">
      <c r="E827" s="1"/>
      <c r="G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5:17" ht="12.7">
      <c r="E828" s="1"/>
      <c r="G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5:17" ht="12.7">
      <c r="E829" s="1"/>
      <c r="G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5:17" ht="12.7">
      <c r="E830" s="1"/>
      <c r="G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5:17" ht="12.7">
      <c r="E831" s="1"/>
      <c r="G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5:17" ht="12.7">
      <c r="E832" s="1"/>
      <c r="G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5:17" ht="12.7">
      <c r="E833" s="1"/>
      <c r="G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5:17" ht="12.7">
      <c r="E834" s="1"/>
      <c r="G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5:17" ht="12.7">
      <c r="E835" s="1"/>
      <c r="G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5:17" ht="12.7">
      <c r="E836" s="1"/>
      <c r="G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5:17" ht="12.7">
      <c r="E837" s="1"/>
      <c r="G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5:17" ht="12.7">
      <c r="E838" s="1"/>
      <c r="G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5:17" ht="12.7">
      <c r="E839" s="1"/>
      <c r="G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5:17" ht="12.7">
      <c r="E840" s="1"/>
      <c r="G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5:17" ht="12.7">
      <c r="E841" s="1"/>
      <c r="G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5:17" ht="12.7">
      <c r="E842" s="1"/>
      <c r="G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5:17" ht="12.7">
      <c r="E843" s="1"/>
      <c r="G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5:17" ht="12.7">
      <c r="E844" s="1"/>
      <c r="G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5:17" ht="12.7">
      <c r="E845" s="1"/>
      <c r="G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5:17" ht="12.7">
      <c r="E846" s="1"/>
      <c r="G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5:17" ht="12.7">
      <c r="E847" s="1"/>
      <c r="G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5:17" ht="12.7">
      <c r="E848" s="1"/>
      <c r="G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5:17" ht="12.7">
      <c r="E849" s="1"/>
      <c r="G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5:17" ht="12.7">
      <c r="E850" s="1"/>
      <c r="G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5:17" ht="12.7">
      <c r="E851" s="1"/>
      <c r="G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5:17" ht="12.7">
      <c r="E852" s="1"/>
      <c r="G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5:17" ht="12.7">
      <c r="E853" s="1"/>
      <c r="G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5:17" ht="12.7">
      <c r="E854" s="1"/>
      <c r="G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5:17" ht="12.7">
      <c r="E855" s="1"/>
      <c r="G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5:17" ht="12.7">
      <c r="E856" s="1"/>
      <c r="G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5:17" ht="12.7">
      <c r="E857" s="1"/>
      <c r="G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5:17" ht="12.7">
      <c r="E858" s="1"/>
      <c r="G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5:17" ht="12.7">
      <c r="E859" s="1"/>
      <c r="G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5:17" ht="12.7">
      <c r="E860" s="1"/>
      <c r="G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5:17" ht="12.7">
      <c r="E861" s="1"/>
      <c r="G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5:17" ht="12.7">
      <c r="E862" s="1"/>
      <c r="G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5:17" ht="12.7">
      <c r="E863" s="1"/>
      <c r="G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5:17" ht="12.7">
      <c r="E864" s="1"/>
      <c r="G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5:17" ht="12.7">
      <c r="E865" s="1"/>
      <c r="G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5:17" ht="12.7">
      <c r="E866" s="1"/>
      <c r="G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5:17" ht="12.7">
      <c r="E867" s="1"/>
      <c r="G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5:17" ht="12.7">
      <c r="E868" s="1"/>
      <c r="G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5:17" ht="12.7">
      <c r="E869" s="1"/>
      <c r="G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5:17" ht="12.7">
      <c r="E870" s="1"/>
      <c r="G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5:17" ht="12.7">
      <c r="E871" s="1"/>
      <c r="G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5:17" ht="12.7">
      <c r="E872" s="1"/>
      <c r="G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5:17" ht="12.7">
      <c r="E873" s="1"/>
      <c r="G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5:17" ht="12.7">
      <c r="E874" s="1"/>
      <c r="G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5:17" ht="12.7">
      <c r="E875" s="1"/>
      <c r="G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5:17" ht="12.7">
      <c r="E876" s="1"/>
      <c r="G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5:17" ht="12.7">
      <c r="E877" s="1"/>
      <c r="G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5:17" ht="12.7">
      <c r="E878" s="1"/>
      <c r="G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5:17" ht="12.7">
      <c r="E879" s="1"/>
      <c r="G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5:17" ht="12.7">
      <c r="E880" s="1"/>
      <c r="G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5:17" ht="12.7">
      <c r="E881" s="1"/>
      <c r="G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5:17" ht="12.7">
      <c r="E882" s="1"/>
      <c r="G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5:17" ht="12.7">
      <c r="E883" s="1"/>
      <c r="G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5:17" ht="12.7">
      <c r="E884" s="1"/>
      <c r="G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5:17" ht="12.7">
      <c r="E885" s="1"/>
      <c r="G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5:17" ht="12.7">
      <c r="E886" s="1"/>
      <c r="G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5:17" ht="12.7">
      <c r="E887" s="1"/>
      <c r="G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5:17" ht="12.7">
      <c r="E888" s="1"/>
      <c r="G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5:17" ht="12.7">
      <c r="E889" s="1"/>
      <c r="G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5:17" ht="12.7">
      <c r="E890" s="1"/>
      <c r="G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5:17" ht="12.7">
      <c r="E891" s="1"/>
      <c r="G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5:17" ht="12.7">
      <c r="E892" s="1"/>
      <c r="G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5:17" ht="12.7">
      <c r="E893" s="1"/>
      <c r="G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5:17" ht="12.7">
      <c r="E894" s="1"/>
      <c r="G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5:17" ht="12.7">
      <c r="E895" s="1"/>
      <c r="G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5:17" ht="12.7">
      <c r="E896" s="1"/>
      <c r="G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5:17" ht="12.7">
      <c r="E897" s="1"/>
      <c r="G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5:17" ht="12.7">
      <c r="E898" s="1"/>
      <c r="G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5:17" ht="12.7">
      <c r="E899" s="1"/>
      <c r="G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5:17" ht="12.7">
      <c r="E900" s="1"/>
      <c r="G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5:17" ht="12.7">
      <c r="E901" s="1"/>
      <c r="G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5:17" ht="12.7">
      <c r="E902" s="1"/>
      <c r="G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5:17" ht="12.7">
      <c r="E903" s="1"/>
      <c r="G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5:17" ht="12.7">
      <c r="E904" s="1"/>
      <c r="G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5:17" ht="12.7">
      <c r="E905" s="1"/>
      <c r="G905" s="1"/>
      <c r="I905" s="1"/>
      <c r="J905" s="1"/>
      <c r="K905" s="1"/>
      <c r="L905" s="1"/>
      <c r="M905" s="1"/>
      <c r="N905" s="1"/>
      <c r="O905" s="1"/>
      <c r="P905" s="1"/>
      <c r="Q905" s="1"/>
    </row>
    <row r="906" spans="5:17" ht="12.7">
      <c r="E906" s="1"/>
      <c r="G906" s="1"/>
      <c r="I906" s="1"/>
      <c r="J906" s="1"/>
      <c r="K906" s="1"/>
      <c r="L906" s="1"/>
      <c r="M906" s="1"/>
      <c r="N906" s="1"/>
      <c r="O906" s="1"/>
      <c r="P906" s="1"/>
      <c r="Q906" s="1"/>
    </row>
    <row r="907" spans="5:17" ht="12.7">
      <c r="E907" s="1"/>
      <c r="G907" s="1"/>
      <c r="I907" s="1"/>
      <c r="J907" s="1"/>
      <c r="K907" s="1"/>
      <c r="L907" s="1"/>
      <c r="M907" s="1"/>
      <c r="N907" s="1"/>
      <c r="O907" s="1"/>
      <c r="P907" s="1"/>
      <c r="Q907" s="1"/>
    </row>
    <row r="908" spans="5:17" ht="12.7">
      <c r="E908" s="1"/>
      <c r="G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5:17" ht="12.7">
      <c r="E909" s="1"/>
      <c r="G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5:17" ht="12.7">
      <c r="E910" s="1"/>
      <c r="G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5:17" ht="12.7">
      <c r="E911" s="1"/>
      <c r="G911" s="1"/>
      <c r="I911" s="1"/>
      <c r="J911" s="1"/>
      <c r="K911" s="1"/>
      <c r="L911" s="1"/>
      <c r="M911" s="1"/>
      <c r="N911" s="1"/>
      <c r="O911" s="1"/>
      <c r="P911" s="1"/>
      <c r="Q911" s="1"/>
    </row>
    <row r="912" spans="5:17" ht="12.7">
      <c r="E912" s="1"/>
      <c r="G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5:17" ht="12.7">
      <c r="E913" s="1"/>
      <c r="G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5:17" ht="12.7">
      <c r="E914" s="1"/>
      <c r="G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5:17" ht="12.7">
      <c r="E915" s="1"/>
      <c r="G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5:17" ht="12.7">
      <c r="E916" s="1"/>
      <c r="G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5:17" ht="12.7">
      <c r="E917" s="1"/>
      <c r="G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5:17" ht="12.7">
      <c r="E918" s="1"/>
      <c r="G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5:17" ht="12.7">
      <c r="E919" s="1"/>
      <c r="G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5:17" ht="12.7">
      <c r="E920" s="1"/>
      <c r="G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5:17" ht="12.7">
      <c r="E921" s="1"/>
      <c r="G921" s="1"/>
      <c r="I921" s="1"/>
      <c r="J921" s="1"/>
      <c r="K921" s="1"/>
      <c r="L921" s="1"/>
      <c r="M921" s="1"/>
      <c r="N921" s="1"/>
      <c r="O921" s="1"/>
      <c r="P921" s="1"/>
      <c r="Q921" s="1"/>
    </row>
    <row r="922" spans="5:17" ht="12.7">
      <c r="E922" s="1"/>
      <c r="G922" s="1"/>
      <c r="I922" s="1"/>
      <c r="J922" s="1"/>
      <c r="K922" s="1"/>
      <c r="L922" s="1"/>
      <c r="M922" s="1"/>
      <c r="N922" s="1"/>
      <c r="O922" s="1"/>
      <c r="P922" s="1"/>
      <c r="Q922" s="1"/>
    </row>
    <row r="923" spans="5:17" ht="12.7">
      <c r="E923" s="1"/>
      <c r="G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5:17" ht="12.7">
      <c r="E924" s="1"/>
      <c r="G924" s="1"/>
      <c r="I924" s="1"/>
      <c r="J924" s="1"/>
      <c r="K924" s="1"/>
      <c r="L924" s="1"/>
      <c r="M924" s="1"/>
      <c r="N924" s="1"/>
      <c r="O924" s="1"/>
      <c r="P924" s="1"/>
      <c r="Q924" s="1"/>
    </row>
    <row r="925" spans="5:17" ht="12.7">
      <c r="E925" s="1"/>
      <c r="G925" s="1"/>
      <c r="I925" s="1"/>
      <c r="J925" s="1"/>
      <c r="K925" s="1"/>
      <c r="L925" s="1"/>
      <c r="M925" s="1"/>
      <c r="N925" s="1"/>
      <c r="O925" s="1"/>
      <c r="P925" s="1"/>
      <c r="Q925" s="1"/>
    </row>
    <row r="926" spans="5:17" ht="12.7">
      <c r="E926" s="1"/>
      <c r="G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5:17" ht="12.7">
      <c r="E927" s="1"/>
      <c r="G927" s="1"/>
      <c r="I927" s="1"/>
      <c r="J927" s="1"/>
      <c r="K927" s="1"/>
      <c r="L927" s="1"/>
      <c r="M927" s="1"/>
      <c r="N927" s="1"/>
      <c r="O927" s="1"/>
      <c r="P927" s="1"/>
      <c r="Q927" s="1"/>
    </row>
    <row r="928" spans="5:17" ht="12.7">
      <c r="E928" s="1"/>
      <c r="G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5:17" ht="12.7">
      <c r="E929" s="1"/>
      <c r="G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5:17" ht="12.7">
      <c r="E930" s="1"/>
      <c r="G930" s="1"/>
      <c r="I930" s="1"/>
      <c r="J930" s="1"/>
      <c r="K930" s="1"/>
      <c r="L930" s="1"/>
      <c r="M930" s="1"/>
      <c r="N930" s="1"/>
      <c r="O930" s="1"/>
      <c r="P930" s="1"/>
      <c r="Q930" s="1"/>
    </row>
    <row r="931" spans="5:17" ht="12.7">
      <c r="E931" s="1"/>
      <c r="G931" s="1"/>
      <c r="I931" s="1"/>
      <c r="J931" s="1"/>
      <c r="K931" s="1"/>
      <c r="L931" s="1"/>
      <c r="M931" s="1"/>
      <c r="N931" s="1"/>
      <c r="O931" s="1"/>
      <c r="P931" s="1"/>
      <c r="Q931" s="1"/>
    </row>
    <row r="932" spans="5:17" ht="12.7">
      <c r="E932" s="1"/>
      <c r="G932" s="1"/>
      <c r="I932" s="1"/>
      <c r="J932" s="1"/>
      <c r="K932" s="1"/>
      <c r="L932" s="1"/>
      <c r="M932" s="1"/>
      <c r="N932" s="1"/>
      <c r="O932" s="1"/>
      <c r="P932" s="1"/>
      <c r="Q932" s="1"/>
    </row>
    <row r="933" spans="5:17" ht="12.7">
      <c r="E933" s="1"/>
      <c r="G933" s="1"/>
      <c r="I933" s="1"/>
      <c r="J933" s="1"/>
      <c r="K933" s="1"/>
      <c r="L933" s="1"/>
      <c r="M933" s="1"/>
      <c r="N933" s="1"/>
      <c r="O933" s="1"/>
      <c r="P933" s="1"/>
      <c r="Q933" s="1"/>
    </row>
    <row r="934" spans="5:17" ht="12.7">
      <c r="E934" s="1"/>
      <c r="G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5:17" ht="12.7">
      <c r="E935" s="1"/>
      <c r="G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5:17" ht="12.7">
      <c r="E936" s="1"/>
      <c r="G936" s="1"/>
      <c r="I936" s="1"/>
      <c r="J936" s="1"/>
      <c r="K936" s="1"/>
      <c r="L936" s="1"/>
      <c r="M936" s="1"/>
      <c r="N936" s="1"/>
      <c r="O936" s="1"/>
      <c r="P936" s="1"/>
      <c r="Q936" s="1"/>
    </row>
    <row r="937" spans="5:17" ht="12.7">
      <c r="E937" s="1"/>
      <c r="G937" s="1"/>
      <c r="I937" s="1"/>
      <c r="J937" s="1"/>
      <c r="K937" s="1"/>
      <c r="L937" s="1"/>
      <c r="M937" s="1"/>
      <c r="N937" s="1"/>
      <c r="O937" s="1"/>
      <c r="P937" s="1"/>
      <c r="Q937" s="1"/>
    </row>
    <row r="938" spans="5:17" ht="12.7">
      <c r="E938" s="1"/>
      <c r="G938" s="1"/>
      <c r="I938" s="1"/>
      <c r="J938" s="1"/>
      <c r="K938" s="1"/>
      <c r="L938" s="1"/>
      <c r="M938" s="1"/>
      <c r="N938" s="1"/>
      <c r="O938" s="1"/>
      <c r="P938" s="1"/>
      <c r="Q938" s="1"/>
    </row>
    <row r="939" spans="5:17" ht="12.7">
      <c r="E939" s="1"/>
      <c r="G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5:17" ht="12.7">
      <c r="E940" s="1"/>
      <c r="G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5:17" ht="12.7">
      <c r="E941" s="1"/>
      <c r="G941" s="1"/>
      <c r="I941" s="1"/>
      <c r="J941" s="1"/>
      <c r="K941" s="1"/>
      <c r="L941" s="1"/>
      <c r="M941" s="1"/>
      <c r="N941" s="1"/>
      <c r="O941" s="1"/>
      <c r="P941" s="1"/>
      <c r="Q941" s="1"/>
    </row>
    <row r="942" spans="5:17" ht="12.7">
      <c r="E942" s="1"/>
      <c r="G942" s="1"/>
      <c r="I942" s="1"/>
      <c r="J942" s="1"/>
      <c r="K942" s="1"/>
      <c r="L942" s="1"/>
      <c r="M942" s="1"/>
      <c r="N942" s="1"/>
      <c r="O942" s="1"/>
      <c r="P942" s="1"/>
      <c r="Q942" s="1"/>
    </row>
    <row r="943" spans="5:17" ht="12.7">
      <c r="E943" s="1"/>
      <c r="G943" s="1"/>
      <c r="I943" s="1"/>
      <c r="J943" s="1"/>
      <c r="K943" s="1"/>
      <c r="L943" s="1"/>
      <c r="M943" s="1"/>
      <c r="N943" s="1"/>
      <c r="O943" s="1"/>
      <c r="P943" s="1"/>
      <c r="Q943" s="1"/>
    </row>
    <row r="944" spans="5:17" ht="12.7">
      <c r="E944" s="1"/>
      <c r="G944" s="1"/>
      <c r="I944" s="1"/>
      <c r="J944" s="1"/>
      <c r="K944" s="1"/>
      <c r="L944" s="1"/>
      <c r="M944" s="1"/>
      <c r="N944" s="1"/>
      <c r="O944" s="1"/>
      <c r="P944" s="1"/>
      <c r="Q944" s="1"/>
    </row>
    <row r="945" spans="5:17" ht="12.7">
      <c r="E945" s="1"/>
      <c r="G945" s="1"/>
      <c r="I945" s="1"/>
      <c r="J945" s="1"/>
      <c r="K945" s="1"/>
      <c r="L945" s="1"/>
      <c r="M945" s="1"/>
      <c r="N945" s="1"/>
      <c r="O945" s="1"/>
      <c r="P945" s="1"/>
      <c r="Q945" s="1"/>
    </row>
    <row r="946" spans="5:17" ht="12.7">
      <c r="E946" s="1"/>
      <c r="G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5:17" ht="12.7">
      <c r="E947" s="1"/>
      <c r="G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5:17" ht="12.7">
      <c r="E948" s="1"/>
      <c r="G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5:17" ht="12.7">
      <c r="E949" s="1"/>
      <c r="G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5:17" ht="12.7">
      <c r="E950" s="1"/>
      <c r="G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5:17" ht="12.7">
      <c r="E951" s="1"/>
      <c r="G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5:17" ht="12.7">
      <c r="E952" s="1"/>
      <c r="G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5:17" ht="12.7">
      <c r="E953" s="1"/>
      <c r="G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5:17" ht="12.7">
      <c r="E954" s="1"/>
      <c r="G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5:17" ht="12.7">
      <c r="E955" s="1"/>
      <c r="G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5:17" ht="12.7">
      <c r="E956" s="1"/>
      <c r="G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5:17" ht="12.7">
      <c r="E957" s="1"/>
      <c r="G957" s="1"/>
      <c r="I957" s="1"/>
      <c r="J957" s="1"/>
      <c r="K957" s="1"/>
      <c r="L957" s="1"/>
      <c r="M957" s="1"/>
      <c r="N957" s="1"/>
      <c r="O957" s="1"/>
      <c r="P957" s="1"/>
      <c r="Q957" s="1"/>
    </row>
    <row r="958" spans="5:17" ht="12.7">
      <c r="E958" s="1"/>
      <c r="G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5:17" ht="12.7">
      <c r="E959" s="1"/>
      <c r="G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5:17" ht="12.7">
      <c r="E960" s="1"/>
      <c r="G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5:17" ht="12.7">
      <c r="E961" s="1"/>
      <c r="G961" s="1"/>
      <c r="I961" s="1"/>
      <c r="J961" s="1"/>
      <c r="K961" s="1"/>
      <c r="L961" s="1"/>
      <c r="M961" s="1"/>
      <c r="N961" s="1"/>
      <c r="O961" s="1"/>
      <c r="P961" s="1"/>
      <c r="Q961" s="1"/>
    </row>
    <row r="962" spans="5:17" ht="12.7">
      <c r="E962" s="1"/>
      <c r="G962" s="1"/>
      <c r="I962" s="1"/>
      <c r="J962" s="1"/>
      <c r="K962" s="1"/>
      <c r="L962" s="1"/>
      <c r="M962" s="1"/>
      <c r="N962" s="1"/>
      <c r="O962" s="1"/>
      <c r="P962" s="1"/>
      <c r="Q962" s="1"/>
    </row>
    <row r="963" spans="5:17" ht="12.7">
      <c r="E963" s="1"/>
      <c r="G963" s="1"/>
      <c r="I963" s="1"/>
      <c r="J963" s="1"/>
      <c r="K963" s="1"/>
      <c r="L963" s="1"/>
      <c r="M963" s="1"/>
      <c r="N963" s="1"/>
      <c r="O963" s="1"/>
      <c r="P963" s="1"/>
      <c r="Q963" s="1"/>
    </row>
    <row r="964" spans="5:17" ht="12.7">
      <c r="E964" s="1"/>
      <c r="G964" s="1"/>
      <c r="I964" s="1"/>
      <c r="J964" s="1"/>
      <c r="K964" s="1"/>
      <c r="L964" s="1"/>
      <c r="M964" s="1"/>
      <c r="N964" s="1"/>
      <c r="O964" s="1"/>
      <c r="P964" s="1"/>
      <c r="Q964" s="1"/>
    </row>
    <row r="965" spans="5:17" ht="12.7">
      <c r="E965" s="1"/>
      <c r="G965" s="1"/>
      <c r="I965" s="1"/>
      <c r="J965" s="1"/>
      <c r="K965" s="1"/>
      <c r="L965" s="1"/>
      <c r="M965" s="1"/>
      <c r="N965" s="1"/>
      <c r="O965" s="1"/>
      <c r="P965" s="1"/>
      <c r="Q965" s="1"/>
    </row>
    <row r="966" spans="5:17" ht="12.7">
      <c r="E966" s="1"/>
      <c r="G966" s="1"/>
      <c r="I966" s="1"/>
      <c r="J966" s="1"/>
      <c r="K966" s="1"/>
      <c r="L966" s="1"/>
      <c r="M966" s="1"/>
      <c r="N966" s="1"/>
      <c r="O966" s="1"/>
      <c r="P966" s="1"/>
      <c r="Q966" s="1"/>
    </row>
    <row r="967" spans="5:17" ht="12.7">
      <c r="E967" s="1"/>
      <c r="G967" s="1"/>
      <c r="I967" s="1"/>
      <c r="J967" s="1"/>
      <c r="K967" s="1"/>
      <c r="L967" s="1"/>
      <c r="M967" s="1"/>
      <c r="N967" s="1"/>
      <c r="O967" s="1"/>
      <c r="P967" s="1"/>
      <c r="Q967" s="1"/>
    </row>
    <row r="968" spans="5:17" ht="12.7">
      <c r="E968" s="1"/>
      <c r="G968" s="1"/>
      <c r="I968" s="1"/>
      <c r="J968" s="1"/>
      <c r="K968" s="1"/>
      <c r="L968" s="1"/>
      <c r="M968" s="1"/>
      <c r="N968" s="1"/>
      <c r="O968" s="1"/>
      <c r="P968" s="1"/>
      <c r="Q968" s="1"/>
    </row>
    <row r="969" spans="5:17" ht="12.7">
      <c r="E969" s="1"/>
      <c r="G969" s="1"/>
      <c r="I969" s="1"/>
      <c r="J969" s="1"/>
      <c r="K969" s="1"/>
      <c r="L969" s="1"/>
      <c r="M969" s="1"/>
      <c r="N969" s="1"/>
      <c r="O969" s="1"/>
      <c r="P969" s="1"/>
      <c r="Q969" s="1"/>
    </row>
    <row r="970" spans="5:17" ht="12.7">
      <c r="E970" s="1"/>
      <c r="G970" s="1"/>
      <c r="I970" s="1"/>
      <c r="J970" s="1"/>
      <c r="K970" s="1"/>
      <c r="L970" s="1"/>
      <c r="M970" s="1"/>
      <c r="N970" s="1"/>
      <c r="O970" s="1"/>
      <c r="P970" s="1"/>
      <c r="Q970" s="1"/>
    </row>
    <row r="971" spans="5:17" ht="12.7">
      <c r="E971" s="1"/>
      <c r="G971" s="1"/>
      <c r="I971" s="1"/>
      <c r="J971" s="1"/>
      <c r="K971" s="1"/>
      <c r="L971" s="1"/>
      <c r="M971" s="1"/>
      <c r="N971" s="1"/>
      <c r="O971" s="1"/>
      <c r="P971" s="1"/>
      <c r="Q971" s="1"/>
    </row>
    <row r="972" spans="5:17" ht="12.7">
      <c r="E972" s="1"/>
      <c r="G972" s="1"/>
      <c r="I972" s="1"/>
      <c r="J972" s="1"/>
      <c r="K972" s="1"/>
      <c r="L972" s="1"/>
      <c r="M972" s="1"/>
      <c r="N972" s="1"/>
      <c r="O972" s="1"/>
      <c r="P972" s="1"/>
      <c r="Q972" s="1"/>
    </row>
    <row r="973" spans="5:17" ht="12.7">
      <c r="E973" s="1"/>
      <c r="G973" s="1"/>
      <c r="I973" s="1"/>
      <c r="J973" s="1"/>
      <c r="K973" s="1"/>
      <c r="L973" s="1"/>
      <c r="M973" s="1"/>
      <c r="N973" s="1"/>
      <c r="O973" s="1"/>
      <c r="P973" s="1"/>
      <c r="Q973" s="1"/>
    </row>
    <row r="974" spans="5:17" ht="12.7">
      <c r="E974" s="1"/>
      <c r="G974" s="1"/>
      <c r="I974" s="1"/>
      <c r="J974" s="1"/>
      <c r="K974" s="1"/>
      <c r="L974" s="1"/>
      <c r="M974" s="1"/>
      <c r="N974" s="1"/>
      <c r="O974" s="1"/>
      <c r="P974" s="1"/>
      <c r="Q974" s="1"/>
    </row>
    <row r="975" spans="5:17" ht="12.7">
      <c r="E975" s="1"/>
      <c r="G975" s="1"/>
      <c r="I975" s="1"/>
      <c r="J975" s="1"/>
      <c r="K975" s="1"/>
      <c r="L975" s="1"/>
      <c r="M975" s="1"/>
      <c r="N975" s="1"/>
      <c r="O975" s="1"/>
      <c r="P975" s="1"/>
      <c r="Q975" s="1"/>
    </row>
    <row r="976" spans="5:17" ht="12.7">
      <c r="E976" s="1"/>
      <c r="G976" s="1"/>
      <c r="I976" s="1"/>
      <c r="J976" s="1"/>
      <c r="K976" s="1"/>
      <c r="L976" s="1"/>
      <c r="M976" s="1"/>
      <c r="N976" s="1"/>
      <c r="O976" s="1"/>
      <c r="P976" s="1"/>
      <c r="Q976" s="1"/>
    </row>
    <row r="977" spans="5:17" ht="12.7">
      <c r="E977" s="1"/>
      <c r="G977" s="1"/>
      <c r="I977" s="1"/>
      <c r="J977" s="1"/>
      <c r="K977" s="1"/>
      <c r="L977" s="1"/>
      <c r="M977" s="1"/>
      <c r="N977" s="1"/>
      <c r="O977" s="1"/>
      <c r="P977" s="1"/>
      <c r="Q977" s="1"/>
    </row>
    <row r="978" spans="5:17" ht="12.7">
      <c r="E978" s="1"/>
      <c r="G978" s="1"/>
      <c r="I978" s="1"/>
      <c r="J978" s="1"/>
      <c r="K978" s="1"/>
      <c r="L978" s="1"/>
      <c r="M978" s="1"/>
      <c r="N978" s="1"/>
      <c r="O978" s="1"/>
      <c r="P978" s="1"/>
      <c r="Q978" s="1"/>
    </row>
    <row r="979" spans="5:17" ht="12.7">
      <c r="E979" s="1"/>
      <c r="G979" s="1"/>
      <c r="I979" s="1"/>
      <c r="J979" s="1"/>
      <c r="K979" s="1"/>
      <c r="L979" s="1"/>
      <c r="M979" s="1"/>
      <c r="N979" s="1"/>
      <c r="O979" s="1"/>
      <c r="P979" s="1"/>
      <c r="Q979" s="1"/>
    </row>
    <row r="980" spans="5:17" ht="12.7">
      <c r="E980" s="1"/>
      <c r="G980" s="1"/>
      <c r="I980" s="1"/>
      <c r="J980" s="1"/>
      <c r="K980" s="1"/>
      <c r="L980" s="1"/>
      <c r="M980" s="1"/>
      <c r="N980" s="1"/>
      <c r="O980" s="1"/>
      <c r="P980" s="1"/>
      <c r="Q980" s="1"/>
    </row>
    <row r="981" spans="5:17" ht="12.7">
      <c r="E981" s="1"/>
      <c r="G981" s="1"/>
      <c r="I981" s="1"/>
      <c r="J981" s="1"/>
      <c r="K981" s="1"/>
      <c r="L981" s="1"/>
      <c r="M981" s="1"/>
      <c r="N981" s="1"/>
      <c r="O981" s="1"/>
      <c r="P981" s="1"/>
      <c r="Q981" s="1"/>
    </row>
    <row r="982" spans="5:17" ht="12.7">
      <c r="E982" s="1"/>
      <c r="G982" s="1"/>
      <c r="I982" s="1"/>
      <c r="J982" s="1"/>
      <c r="K982" s="1"/>
      <c r="L982" s="1"/>
      <c r="M982" s="1"/>
      <c r="N982" s="1"/>
      <c r="O982" s="1"/>
      <c r="P982" s="1"/>
      <c r="Q982" s="1"/>
    </row>
    <row r="983" spans="5:17" ht="12.7">
      <c r="E983" s="1"/>
      <c r="G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5:17" ht="12.7">
      <c r="E984" s="1"/>
      <c r="G984" s="1"/>
      <c r="I984" s="1"/>
      <c r="J984" s="1"/>
      <c r="K984" s="1"/>
      <c r="L984" s="1"/>
      <c r="M984" s="1"/>
      <c r="N984" s="1"/>
      <c r="O984" s="1"/>
      <c r="P984" s="1"/>
      <c r="Q984" s="1"/>
    </row>
    <row r="985" spans="5:17" ht="12.7">
      <c r="E985" s="1"/>
      <c r="G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5:17" ht="12.7">
      <c r="E986" s="1"/>
      <c r="G986" s="1"/>
      <c r="I986" s="1"/>
      <c r="J986" s="1"/>
      <c r="K986" s="1"/>
      <c r="L986" s="1"/>
      <c r="M986" s="1"/>
      <c r="N986" s="1"/>
      <c r="O986" s="1"/>
      <c r="P986" s="1"/>
      <c r="Q986" s="1"/>
    </row>
    <row r="987" spans="5:17" ht="12.7">
      <c r="E987" s="1"/>
      <c r="G987" s="1"/>
      <c r="I987" s="1"/>
      <c r="J987" s="1"/>
      <c r="K987" s="1"/>
      <c r="L987" s="1"/>
      <c r="M987" s="1"/>
      <c r="N987" s="1"/>
      <c r="O987" s="1"/>
      <c r="P987" s="1"/>
      <c r="Q987" s="1"/>
    </row>
    <row r="988" spans="5:17" ht="12.7">
      <c r="E988" s="1"/>
      <c r="G988" s="1"/>
      <c r="I988" s="1"/>
      <c r="J988" s="1"/>
      <c r="K988" s="1"/>
      <c r="L988" s="1"/>
      <c r="M988" s="1"/>
      <c r="N988" s="1"/>
      <c r="O988" s="1"/>
      <c r="P988" s="1"/>
      <c r="Q988" s="1"/>
    </row>
    <row r="989" spans="5:17" ht="12.7">
      <c r="E989" s="1"/>
      <c r="G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5:17" ht="12.7">
      <c r="E990" s="1"/>
      <c r="G990" s="1"/>
      <c r="I990" s="1"/>
      <c r="J990" s="1"/>
      <c r="K990" s="1"/>
      <c r="L990" s="1"/>
      <c r="M990" s="1"/>
      <c r="N990" s="1"/>
      <c r="O990" s="1"/>
      <c r="P990" s="1"/>
      <c r="Q990" s="1"/>
    </row>
    <row r="991" spans="5:17" ht="12.7">
      <c r="E991" s="1"/>
      <c r="G991" s="1"/>
      <c r="I991" s="1"/>
      <c r="J991" s="1"/>
      <c r="K991" s="1"/>
      <c r="L991" s="1"/>
      <c r="M991" s="1"/>
      <c r="N991" s="1"/>
      <c r="O991" s="1"/>
      <c r="P991" s="1"/>
      <c r="Q991" s="1"/>
    </row>
    <row r="992" spans="5:17" ht="12.7">
      <c r="E992" s="1"/>
      <c r="G992" s="1"/>
      <c r="I992" s="1"/>
      <c r="J992" s="1"/>
      <c r="K992" s="1"/>
      <c r="L992" s="1"/>
      <c r="M992" s="1"/>
      <c r="N992" s="1"/>
      <c r="O992" s="1"/>
      <c r="P992" s="1"/>
      <c r="Q992" s="1"/>
    </row>
    <row r="993" spans="5:17" ht="12.7">
      <c r="E993" s="1"/>
      <c r="G993" s="1"/>
      <c r="I993" s="1"/>
      <c r="J993" s="1"/>
      <c r="K993" s="1"/>
      <c r="L993" s="1"/>
      <c r="M993" s="1"/>
      <c r="N993" s="1"/>
      <c r="O993" s="1"/>
      <c r="P993" s="1"/>
      <c r="Q993" s="1"/>
    </row>
    <row r="994" spans="5:17" ht="12.7">
      <c r="E994" s="1"/>
      <c r="G994" s="1"/>
      <c r="I994" s="1"/>
      <c r="J994" s="1"/>
      <c r="K994" s="1"/>
      <c r="L994" s="1"/>
      <c r="M994" s="1"/>
      <c r="N994" s="1"/>
      <c r="O994" s="1"/>
      <c r="P994" s="1"/>
      <c r="Q994" s="1"/>
    </row>
    <row r="995" spans="5:17" ht="12.7">
      <c r="E995" s="1"/>
      <c r="G995" s="1"/>
      <c r="I995" s="1"/>
      <c r="J995" s="1"/>
      <c r="K995" s="1"/>
      <c r="L995" s="1"/>
      <c r="M995" s="1"/>
      <c r="N995" s="1"/>
      <c r="O995" s="1"/>
      <c r="P995" s="1"/>
      <c r="Q995" s="1"/>
    </row>
    <row r="996" spans="5:17" ht="12.7">
      <c r="E996" s="1"/>
      <c r="G996" s="1"/>
      <c r="I996" s="1"/>
      <c r="J996" s="1"/>
      <c r="K996" s="1"/>
      <c r="L996" s="1"/>
      <c r="M996" s="1"/>
      <c r="N996" s="1"/>
      <c r="O996" s="1"/>
      <c r="P996" s="1"/>
      <c r="Q996" s="1"/>
    </row>
    <row r="997" spans="5:17" ht="12.7">
      <c r="E997" s="1"/>
      <c r="G997" s="1"/>
      <c r="I997" s="1"/>
      <c r="J997" s="1"/>
      <c r="K997" s="1"/>
      <c r="L997" s="1"/>
      <c r="M997" s="1"/>
      <c r="N997" s="1"/>
      <c r="O997" s="1"/>
      <c r="P997" s="1"/>
      <c r="Q997" s="1"/>
    </row>
    <row r="998" spans="5:17" ht="12.7">
      <c r="E998" s="1"/>
      <c r="G998" s="1"/>
      <c r="I998" s="1"/>
      <c r="J998" s="1"/>
      <c r="K998" s="1"/>
      <c r="L998" s="1"/>
      <c r="M998" s="1"/>
      <c r="N998" s="1"/>
      <c r="O998" s="1"/>
      <c r="P998" s="1"/>
      <c r="Q998" s="1"/>
    </row>
    <row r="999" spans="5:17" ht="12.7">
      <c r="E999" s="1"/>
      <c r="G999" s="1"/>
      <c r="I999" s="1"/>
      <c r="J999" s="1"/>
      <c r="K999" s="1"/>
      <c r="L999" s="1"/>
      <c r="M999" s="1"/>
      <c r="N999" s="1"/>
      <c r="O999" s="1"/>
      <c r="P999" s="1"/>
      <c r="Q999" s="1"/>
    </row>
    <row r="1000" spans="5:17" ht="12.7">
      <c r="E1000" s="1"/>
      <c r="G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hyperlinks>
    <hyperlink ref="A1" location="'ÍNDICE'!A1" display="INDICE" xr:uid="{00000000-0004-0000-0D00-000000000000}"/>
    <hyperlink ref="K2" r:id="rId1" xr:uid="{00000000-0004-0000-0D00-000001000000}"/>
    <hyperlink ref="K3" r:id="rId2" xr:uid="{00000000-0004-0000-0D00-000002000000}"/>
    <hyperlink ref="A4" r:id="rId3" xr:uid="{00000000-0004-0000-0D00-000003000000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A1000"/>
  <sheetViews>
    <sheetView workbookViewId="0"/>
  </sheetViews>
  <sheetFormatPr baseColWidth="10" defaultColWidth="12.64453125" defaultRowHeight="15.75" customHeight="1"/>
  <cols>
    <col min="1" max="1" width="4.3515625" customWidth="1"/>
    <col min="2" max="2" width="28.87890625" customWidth="1"/>
    <col min="3" max="3" width="28.76171875" customWidth="1"/>
    <col min="4" max="5" width="25.1171875" hidden="1" customWidth="1"/>
    <col min="6" max="6" width="17.64453125" hidden="1" customWidth="1"/>
    <col min="7" max="8" width="12.64453125" hidden="1"/>
    <col min="13" max="13" width="23.3515625" customWidth="1"/>
    <col min="14" max="14" width="36.234375" customWidth="1"/>
    <col min="15" max="15" width="19.46875" customWidth="1"/>
    <col min="16" max="16" width="18.3515625" customWidth="1"/>
    <col min="17" max="17" width="25" customWidth="1"/>
    <col min="18" max="18" width="28.1171875" hidden="1" customWidth="1"/>
    <col min="19" max="19" width="56.3515625" customWidth="1"/>
  </cols>
  <sheetData>
    <row r="1" spans="1:27">
      <c r="A1" s="7"/>
      <c r="B1" s="7"/>
      <c r="C1" s="10" t="s">
        <v>157</v>
      </c>
      <c r="D1" s="9" t="s">
        <v>158</v>
      </c>
      <c r="E1" s="9" t="s">
        <v>32</v>
      </c>
      <c r="F1" s="9" t="s">
        <v>2</v>
      </c>
      <c r="G1" s="9" t="s">
        <v>0</v>
      </c>
      <c r="H1" s="9" t="s">
        <v>1</v>
      </c>
      <c r="I1" s="10" t="s">
        <v>3</v>
      </c>
      <c r="J1" s="10" t="s">
        <v>4</v>
      </c>
      <c r="K1" s="10" t="s">
        <v>159</v>
      </c>
      <c r="L1" s="10" t="s">
        <v>160</v>
      </c>
      <c r="M1" s="10" t="s">
        <v>161</v>
      </c>
      <c r="N1" s="10" t="s">
        <v>162</v>
      </c>
      <c r="O1" s="10" t="s">
        <v>163</v>
      </c>
      <c r="P1" s="10" t="s">
        <v>164</v>
      </c>
      <c r="Q1" s="10" t="s">
        <v>165</v>
      </c>
      <c r="R1" s="10" t="s">
        <v>166</v>
      </c>
      <c r="S1" s="10" t="s">
        <v>167</v>
      </c>
      <c r="T1" s="7"/>
      <c r="U1" s="7"/>
      <c r="V1" s="7"/>
      <c r="W1" s="7"/>
      <c r="X1" s="7"/>
      <c r="Y1" s="7"/>
      <c r="Z1" s="7"/>
      <c r="AA1" s="7"/>
    </row>
    <row r="2" spans="1:27">
      <c r="A2" s="7"/>
      <c r="B2" s="11"/>
      <c r="C2" s="2" t="e">
        <f>#REF!</f>
        <v>#REF!</v>
      </c>
      <c r="D2" s="1" t="e">
        <f>#REF!</f>
        <v>#REF!</v>
      </c>
      <c r="E2" s="15" t="e">
        <f t="shared" ref="E2:E77" si="0">CONCATENATE("https://speedskatingresults.com/api/json/skater_competitions?skater=",D2,"&amp;season=",$B$6)</f>
        <v>#REF!</v>
      </c>
      <c r="F2" s="8" t="e">
        <f t="shared" ref="F2:F86" ca="1" si="1">IF(ISBLANK(N2)," ",IF(     YEARFRAC(G2,CONCATENATE("31/12/",YEAR(G2)),1)&gt;0.502,    ROUND(YEARFRAC(CONCATENATE("31/12/",YEAR(G2)-1),IF( YEARFRAC(H2,CONCATENATE("31/12/",YEAR(H2)),1)&gt;0.502, CONCATENATE("31/12/",YEAR(H2)-1), CONCATENATE("31/12/",YEAR(H2)) ),1),0),       ROUND(YEARFRAC(CONCATENATE("31/12/",YEAR(G2)),IF( YEARFRAC(H2,CONCATENATE("31/12/",YEAR(H2)),1)&gt;0.502, CONCATENATE("31/12/",YEAR(H2)-1), CONCATENATE("31/12/",YEAR(H2)) ),1),0)   ))</f>
        <v>#NAME?</v>
      </c>
      <c r="G2" s="12" t="e">
        <f t="array" aca="1" ref="G2" ca="1">IF(ISBLANK(N2)," ",_xlfn.XLOOKUP(D2,#REF!,#REF!))</f>
        <v>#NAME?</v>
      </c>
      <c r="H2" s="13" t="str">
        <f t="shared" ref="H2:H220" ca="1" si="2">O2</f>
        <v>2026-02-27</v>
      </c>
      <c r="I2" s="8" t="e">
        <f t="array" aca="1" ref="I2" ca="1">IF(ISBLANK(K2)," ",_xlfn.XLOOKUP(D2,#REF!,#REF!))</f>
        <v>#NAME?</v>
      </c>
      <c r="J2" s="8" t="e">
        <f t="array" aca="1" ref="J2" ca="1">IF(ISBLANK(N2)," ",_xlfn.XLOOKUP(F2,Edades!$A$2:$A$101,IF(I2="F",Edades!$B$2:$B$101,Edades!$C$2:$C$101)))</f>
        <v>#NAME?</v>
      </c>
      <c r="K2" s="8" t="str">
        <f ca="1">IFERROR(__xludf.DUMMYFUNCTION("index(query(importjson(E2)),2,)"),"93128")</f>
        <v>93128</v>
      </c>
      <c r="L2" s="8" t="str">
        <f ca="1">IFERROR(__xludf.DUMMYFUNCTION("""COMPUTED_VALUE"""),"2025")</f>
        <v>2025</v>
      </c>
      <c r="M2" s="13" t="str">
        <f ca="1">IFERROR(__xludf.DUMMYFUNCTION("""COMPUTED_VALUE"""),"31773")</f>
        <v>31773</v>
      </c>
      <c r="N2" s="8" t="str">
        <f ca="1">IFERROR(__xludf.DUMMYFUNCTION("""COMPUTED_VALUE"""),"ISU Junior World Championships 2026")</f>
        <v>ISU Junior World Championships 2026</v>
      </c>
      <c r="O2" s="8" t="str">
        <f ca="1">IFERROR(__xludf.DUMMYFUNCTION("""COMPUTED_VALUE"""),"2026-02-27")</f>
        <v>2026-02-27</v>
      </c>
      <c r="P2" s="8" t="str">
        <f ca="1">IFERROR(__xludf.DUMMYFUNCTION("""COMPUTED_VALUE"""),"2026-03-01")</f>
        <v>2026-03-01</v>
      </c>
      <c r="Q2" s="8" t="str">
        <f ca="1">IFERROR(__xludf.DUMMYFUNCTION("""COMPUTED_VALUE"""),"Inzell (GER)")</f>
        <v>Inzell (GER)</v>
      </c>
      <c r="R2" s="8" t="str">
        <f ca="1">IFERROR(__xludf.DUMMYFUNCTION("""COMPUTED_VALUE"""),"11")</f>
        <v>11</v>
      </c>
      <c r="S2" s="18" t="str">
        <f ca="1">IFERROR(__xludf.DUMMYFUNCTION("""COMPUTED_VALUE"""),"http://speedskatingresults.com/index.php?p=2&amp;e=31773&amp;s=93128")</f>
        <v>http://speedskatingresults.com/index.php?p=2&amp;e=31773&amp;s=93128</v>
      </c>
      <c r="T2" s="7"/>
      <c r="U2" s="7"/>
      <c r="V2" s="7"/>
      <c r="W2" s="7"/>
      <c r="X2" s="7"/>
      <c r="Y2" s="7"/>
      <c r="Z2" s="7"/>
      <c r="AA2" s="7"/>
    </row>
    <row r="3" spans="1:27">
      <c r="A3" s="7"/>
      <c r="B3" s="7"/>
      <c r="C3" s="2" t="e">
        <f>#REF!</f>
        <v>#REF!</v>
      </c>
      <c r="D3" s="1" t="e">
        <f>#REF!</f>
        <v>#REF!</v>
      </c>
      <c r="E3" s="15" t="e">
        <f t="shared" si="0"/>
        <v>#REF!</v>
      </c>
      <c r="F3" s="8" t="str">
        <f t="shared" si="1"/>
        <v xml:space="preserve"> </v>
      </c>
      <c r="G3" s="12" t="str">
        <f t="array" ref="G3">IF(ISBLANK(N3)," ",_xlfn.XLOOKUP(D3,#REF!,#REF!))</f>
        <v xml:space="preserve"> </v>
      </c>
      <c r="H3" s="13">
        <f t="shared" si="2"/>
        <v>0</v>
      </c>
      <c r="I3" s="8" t="str">
        <f t="array" ref="I3">IF(ISBLANK(K3)," ",_xlfn.XLOOKUP(D3,#REF!,#REF!))</f>
        <v xml:space="preserve"> </v>
      </c>
      <c r="J3" s="8" t="str">
        <f t="array" ref="J3">IF(ISBLANK(N3)," ",_xlfn.XLOOKUP(F3,Edades!$A$2:$A$101,IF(I3="F",Edades!$B$2:$B$101,Edades!$C$2:$C$101)))</f>
        <v xml:space="preserve"> </v>
      </c>
      <c r="K3" s="8"/>
      <c r="L3" s="8"/>
      <c r="M3" s="13"/>
      <c r="N3" s="8"/>
      <c r="O3" s="8"/>
      <c r="P3" s="8"/>
      <c r="Q3" s="8"/>
      <c r="R3" s="8"/>
      <c r="S3" s="8"/>
      <c r="T3" s="7"/>
      <c r="U3" s="7"/>
      <c r="V3" s="7"/>
      <c r="W3" s="7"/>
      <c r="X3" s="7"/>
      <c r="Y3" s="7"/>
      <c r="Z3" s="7"/>
      <c r="AA3" s="7"/>
    </row>
    <row r="4" spans="1:27">
      <c r="A4" s="7"/>
      <c r="C4" s="2" t="e">
        <f>#REF!</f>
        <v>#REF!</v>
      </c>
      <c r="D4" s="1" t="e">
        <f>#REF!</f>
        <v>#REF!</v>
      </c>
      <c r="E4" s="15" t="e">
        <f t="shared" si="0"/>
        <v>#REF!</v>
      </c>
      <c r="F4" s="8" t="e">
        <f t="shared" ca="1" si="1"/>
        <v>#NAME?</v>
      </c>
      <c r="G4" s="12" t="e">
        <f t="array" aca="1" ref="G4" ca="1">IF(ISBLANK(N4)," ",_xlfn.XLOOKUP(D4,#REF!,#REF!))</f>
        <v>#NAME?</v>
      </c>
      <c r="H4" s="13" t="str">
        <f t="shared" ca="1" si="2"/>
        <v>2026-02-27</v>
      </c>
      <c r="I4" s="8" t="e">
        <f t="array" aca="1" ref="I4" ca="1">IF(ISBLANK(K4)," ",_xlfn.XLOOKUP(D4,#REF!,#REF!))</f>
        <v>#NAME?</v>
      </c>
      <c r="J4" s="8" t="e">
        <f t="array" aca="1" ref="J4" ca="1">IF(ISBLANK(N4)," ",_xlfn.XLOOKUP(F4,Edades!$A$2:$A$101,IF(I4="F",Edades!$B$2:$B$101,Edades!$C$2:$C$101)))</f>
        <v>#NAME?</v>
      </c>
      <c r="K4" s="8" t="str">
        <f ca="1">IFERROR(__xludf.DUMMYFUNCTION("INDEX(query(importjson(E4)),2,)"),"63475")</f>
        <v>63475</v>
      </c>
      <c r="L4" s="8" t="str">
        <f ca="1">IFERROR(__xludf.DUMMYFUNCTION("""COMPUTED_VALUE"""),"2025")</f>
        <v>2025</v>
      </c>
      <c r="M4" s="13" t="str">
        <f ca="1">IFERROR(__xludf.DUMMYFUNCTION("""COMPUTED_VALUE"""),"31773")</f>
        <v>31773</v>
      </c>
      <c r="N4" s="8" t="str">
        <f ca="1">IFERROR(__xludf.DUMMYFUNCTION("""COMPUTED_VALUE"""),"ISU Junior World Championships 2026")</f>
        <v>ISU Junior World Championships 2026</v>
      </c>
      <c r="O4" s="8" t="str">
        <f ca="1">IFERROR(__xludf.DUMMYFUNCTION("""COMPUTED_VALUE"""),"2026-02-27")</f>
        <v>2026-02-27</v>
      </c>
      <c r="P4" s="8" t="str">
        <f ca="1">IFERROR(__xludf.DUMMYFUNCTION("""COMPUTED_VALUE"""),"2026-03-01")</f>
        <v>2026-03-01</v>
      </c>
      <c r="Q4" s="8" t="str">
        <f ca="1">IFERROR(__xludf.DUMMYFUNCTION("""COMPUTED_VALUE"""),"Inzell (GER)")</f>
        <v>Inzell (GER)</v>
      </c>
      <c r="R4" s="8" t="str">
        <f ca="1">IFERROR(__xludf.DUMMYFUNCTION("""COMPUTED_VALUE"""),"11")</f>
        <v>11</v>
      </c>
      <c r="S4" s="18" t="str">
        <f ca="1">IFERROR(__xludf.DUMMYFUNCTION("""COMPUTED_VALUE"""),"http://speedskatingresults.com/index.php?p=2&amp;e=31773&amp;s=63475")</f>
        <v>http://speedskatingresults.com/index.php?p=2&amp;e=31773&amp;s=63475</v>
      </c>
      <c r="T4" s="7"/>
      <c r="U4" s="7"/>
      <c r="V4" s="7"/>
      <c r="W4" s="7"/>
      <c r="X4" s="7"/>
      <c r="Y4" s="7"/>
      <c r="Z4" s="7"/>
      <c r="AA4" s="7"/>
    </row>
    <row r="5" spans="1:27">
      <c r="A5" s="7"/>
      <c r="B5" s="11" t="s">
        <v>131</v>
      </c>
      <c r="C5" s="2" t="e">
        <f>#REF!</f>
        <v>#REF!</v>
      </c>
      <c r="D5" s="1" t="e">
        <f>#REF!</f>
        <v>#REF!</v>
      </c>
      <c r="E5" s="15" t="e">
        <f t="shared" si="0"/>
        <v>#REF!</v>
      </c>
      <c r="F5" s="8" t="str">
        <f t="shared" si="1"/>
        <v xml:space="preserve"> </v>
      </c>
      <c r="G5" s="12" t="str">
        <f t="array" ref="G5">IF(ISBLANK(N5)," ",_xlfn.XLOOKUP(D5,#REF!,#REF!))</f>
        <v xml:space="preserve"> </v>
      </c>
      <c r="H5" s="13">
        <f t="shared" si="2"/>
        <v>0</v>
      </c>
      <c r="I5" s="8" t="str">
        <f t="array" ref="I5">IF(ISBLANK(K5)," ",_xlfn.XLOOKUP(D5,#REF!,#REF!))</f>
        <v xml:space="preserve"> </v>
      </c>
      <c r="J5" s="8" t="str">
        <f t="array" ref="J5">IF(ISBLANK(N5)," ",_xlfn.XLOOKUP(F5,Edades!$A$2:$A$101,IF(I5="F",Edades!$B$2:$B$101,Edades!$C$2:$C$101)))</f>
        <v xml:space="preserve"> </v>
      </c>
      <c r="K5" s="8"/>
      <c r="L5" s="8"/>
      <c r="M5" s="13"/>
      <c r="N5" s="8"/>
      <c r="O5" s="8"/>
      <c r="P5" s="8"/>
      <c r="Q5" s="8"/>
      <c r="R5" s="8"/>
      <c r="S5" s="8"/>
      <c r="T5" s="7"/>
      <c r="U5" s="7"/>
      <c r="V5" s="7"/>
      <c r="W5" s="7"/>
      <c r="X5" s="7"/>
      <c r="Y5" s="7"/>
      <c r="Z5" s="7"/>
      <c r="AA5" s="7"/>
    </row>
    <row r="6" spans="1:27">
      <c r="A6" s="7"/>
      <c r="B6" s="14">
        <v>2025</v>
      </c>
      <c r="C6" s="2" t="e">
        <f>#REF!</f>
        <v>#REF!</v>
      </c>
      <c r="D6" s="1" t="e">
        <f>#REF!</f>
        <v>#REF!</v>
      </c>
      <c r="E6" s="15" t="e">
        <f t="shared" si="0"/>
        <v>#REF!</v>
      </c>
      <c r="F6" s="8" t="str">
        <f t="shared" si="1"/>
        <v xml:space="preserve"> </v>
      </c>
      <c r="G6" s="12" t="str">
        <f t="array" ref="G6">IF(ISBLANK(N6)," ",_xlfn.XLOOKUP(D6,#REF!,#REF!))</f>
        <v xml:space="preserve"> </v>
      </c>
      <c r="H6" s="13">
        <f t="shared" si="2"/>
        <v>0</v>
      </c>
      <c r="I6" s="8" t="str">
        <f t="array" ref="I6">IF(ISBLANK(K6)," ",_xlfn.XLOOKUP(D6,#REF!,#REF!))</f>
        <v xml:space="preserve"> </v>
      </c>
      <c r="J6" s="8" t="str">
        <f t="array" ref="J6">IF(ISBLANK(N6)," ",_xlfn.XLOOKUP(F6,Edades!$A$2:$A$101,IF(I6="F",Edades!$B$2:$B$101,Edades!$C$2:$C$101)))</f>
        <v xml:space="preserve"> </v>
      </c>
      <c r="K6" s="8"/>
      <c r="L6" s="8"/>
      <c r="M6" s="13"/>
      <c r="N6" s="8"/>
      <c r="O6" s="8"/>
      <c r="P6" s="8"/>
      <c r="Q6" s="8"/>
      <c r="R6" s="8"/>
      <c r="S6" s="8"/>
      <c r="T6" s="7"/>
      <c r="U6" s="7"/>
      <c r="V6" s="7"/>
      <c r="W6" s="7"/>
      <c r="X6" s="7"/>
      <c r="Y6" s="7"/>
      <c r="Z6" s="7"/>
      <c r="AA6" s="7"/>
    </row>
    <row r="7" spans="1:27">
      <c r="A7" s="7"/>
      <c r="C7" s="2" t="e">
        <f>#REF!</f>
        <v>#REF!</v>
      </c>
      <c r="D7" s="1" t="e">
        <f>#REF!</f>
        <v>#REF!</v>
      </c>
      <c r="E7" s="15" t="e">
        <f t="shared" si="0"/>
        <v>#REF!</v>
      </c>
      <c r="F7" s="8" t="str">
        <f t="shared" si="1"/>
        <v xml:space="preserve"> </v>
      </c>
      <c r="G7" s="12" t="str">
        <f t="array" ref="G7">IF(ISBLANK(N7)," ",_xlfn.XLOOKUP(D7,#REF!,#REF!))</f>
        <v xml:space="preserve"> </v>
      </c>
      <c r="H7" s="13">
        <f t="shared" si="2"/>
        <v>0</v>
      </c>
      <c r="I7" s="8" t="str">
        <f t="array" ref="I7">IF(ISBLANK(K7)," ",_xlfn.XLOOKUP(D7,#REF!,#REF!))</f>
        <v xml:space="preserve"> </v>
      </c>
      <c r="J7" s="8" t="str">
        <f t="array" ref="J7">IF(ISBLANK(N7)," ",_xlfn.XLOOKUP(F7,Edades!$A$2:$A$101,IF(I7="F",Edades!$B$2:$B$101,Edades!$C$2:$C$101)))</f>
        <v xml:space="preserve"> </v>
      </c>
      <c r="K7" s="8"/>
      <c r="L7" s="8"/>
      <c r="M7" s="13"/>
      <c r="N7" s="8"/>
      <c r="O7" s="8"/>
      <c r="P7" s="8"/>
      <c r="Q7" s="8"/>
      <c r="R7" s="8"/>
      <c r="S7" s="8"/>
      <c r="T7" s="7"/>
      <c r="U7" s="7"/>
      <c r="V7" s="7"/>
      <c r="W7" s="7"/>
      <c r="X7" s="7"/>
      <c r="Y7" s="7"/>
      <c r="Z7" s="7"/>
      <c r="AA7" s="7"/>
    </row>
    <row r="8" spans="1:27">
      <c r="A8" s="7"/>
      <c r="B8" s="7"/>
      <c r="C8" s="2" t="e">
        <f>#REF!</f>
        <v>#REF!</v>
      </c>
      <c r="D8" s="1" t="e">
        <f>#REF!</f>
        <v>#REF!</v>
      </c>
      <c r="E8" s="15" t="e">
        <f t="shared" si="0"/>
        <v>#REF!</v>
      </c>
      <c r="F8" s="8" t="str">
        <f t="shared" si="1"/>
        <v xml:space="preserve"> </v>
      </c>
      <c r="G8" s="12" t="str">
        <f t="array" ref="G8">IF(ISBLANK(N8)," ",_xlfn.XLOOKUP(D8,#REF!,#REF!))</f>
        <v xml:space="preserve"> </v>
      </c>
      <c r="H8" s="13">
        <f t="shared" si="2"/>
        <v>0</v>
      </c>
      <c r="I8" s="8" t="str">
        <f t="array" ref="I8">IF(ISBLANK(K8)," ",_xlfn.XLOOKUP(D8,#REF!,#REF!))</f>
        <v xml:space="preserve"> </v>
      </c>
      <c r="J8" s="8" t="str">
        <f t="array" ref="J8">IF(ISBLANK(N8)," ",_xlfn.XLOOKUP(F8,Edades!$A$2:$A$101,IF(I8="F",Edades!$B$2:$B$101,Edades!$C$2:$C$101)))</f>
        <v xml:space="preserve"> </v>
      </c>
      <c r="K8" s="8"/>
      <c r="L8" s="8"/>
      <c r="M8" s="13"/>
      <c r="N8" s="8"/>
      <c r="O8" s="8"/>
      <c r="P8" s="8"/>
      <c r="Q8" s="8"/>
      <c r="R8" s="8"/>
      <c r="S8" s="8"/>
      <c r="T8" s="7"/>
      <c r="U8" s="7"/>
      <c r="V8" s="7"/>
      <c r="W8" s="7"/>
      <c r="X8" s="7"/>
      <c r="Y8" s="7"/>
      <c r="Z8" s="7"/>
      <c r="AA8" s="7"/>
    </row>
    <row r="9" spans="1:27">
      <c r="A9" s="7"/>
      <c r="B9" s="7"/>
      <c r="C9" s="2" t="e">
        <f>#REF!</f>
        <v>#REF!</v>
      </c>
      <c r="D9" s="1" t="e">
        <f>#REF!</f>
        <v>#REF!</v>
      </c>
      <c r="E9" s="15" t="e">
        <f t="shared" si="0"/>
        <v>#REF!</v>
      </c>
      <c r="F9" s="8" t="str">
        <f t="shared" si="1"/>
        <v xml:space="preserve"> </v>
      </c>
      <c r="G9" s="12" t="str">
        <f t="array" ref="G9">IF(ISBLANK(N9)," ",_xlfn.XLOOKUP(D9,#REF!,#REF!))</f>
        <v xml:space="preserve"> </v>
      </c>
      <c r="H9" s="13">
        <f t="shared" si="2"/>
        <v>0</v>
      </c>
      <c r="I9" s="8" t="str">
        <f t="array" ref="I9">IF(ISBLANK(K9)," ",_xlfn.XLOOKUP(D9,#REF!,#REF!))</f>
        <v xml:space="preserve"> </v>
      </c>
      <c r="J9" s="8" t="str">
        <f t="array" ref="J9">IF(ISBLANK(N9)," ",_xlfn.XLOOKUP(F9,Edades!$A$2:$A$101,IF(I9="F",Edades!$B$2:$B$101,Edades!$C$2:$C$101)))</f>
        <v xml:space="preserve"> </v>
      </c>
      <c r="K9" s="8"/>
      <c r="L9" s="8"/>
      <c r="M9" s="13"/>
      <c r="N9" s="8"/>
      <c r="O9" s="8"/>
      <c r="P9" s="8"/>
      <c r="Q9" s="8"/>
      <c r="R9" s="8"/>
      <c r="S9" s="8"/>
      <c r="T9" s="7"/>
      <c r="U9" s="7"/>
      <c r="V9" s="7"/>
      <c r="W9" s="7"/>
      <c r="X9" s="7"/>
      <c r="Y9" s="7"/>
      <c r="Z9" s="7"/>
      <c r="AA9" s="7"/>
    </row>
    <row r="10" spans="1:27">
      <c r="A10" s="7"/>
      <c r="B10" s="19" t="s">
        <v>168</v>
      </c>
      <c r="C10" s="2" t="e">
        <f>#REF!</f>
        <v>#REF!</v>
      </c>
      <c r="D10" s="1" t="e">
        <f>#REF!</f>
        <v>#REF!</v>
      </c>
      <c r="E10" s="15" t="e">
        <f t="shared" si="0"/>
        <v>#REF!</v>
      </c>
      <c r="F10" s="8" t="str">
        <f t="shared" si="1"/>
        <v xml:space="preserve"> </v>
      </c>
      <c r="G10" s="12" t="str">
        <f t="array" ref="G10">IF(ISBLANK(N10)," ",_xlfn.XLOOKUP(D10,#REF!,#REF!))</f>
        <v xml:space="preserve"> </v>
      </c>
      <c r="H10" s="13">
        <f t="shared" si="2"/>
        <v>0</v>
      </c>
      <c r="I10" s="8" t="str">
        <f t="array" ref="I10">IF(ISBLANK(K10)," ",_xlfn.XLOOKUP(D10,#REF!,#REF!))</f>
        <v xml:space="preserve"> </v>
      </c>
      <c r="J10" s="8" t="str">
        <f t="array" ref="J10">IF(ISBLANK(N10)," ",_xlfn.XLOOKUP(F10,Edades!$A$2:$A$101,IF(I10="F",Edades!$B$2:$B$101,Edades!$C$2:$C$101)))</f>
        <v xml:space="preserve"> </v>
      </c>
      <c r="K10" s="8"/>
      <c r="L10" s="8"/>
      <c r="M10" s="13"/>
      <c r="N10" s="8"/>
      <c r="O10" s="8"/>
      <c r="P10" s="8"/>
      <c r="Q10" s="8"/>
      <c r="R10" s="8"/>
      <c r="S10" s="8"/>
      <c r="T10" s="7"/>
      <c r="U10" s="7"/>
      <c r="V10" s="7"/>
      <c r="W10" s="7"/>
      <c r="X10" s="7"/>
      <c r="Y10" s="7"/>
      <c r="Z10" s="7"/>
      <c r="AA10" s="7"/>
    </row>
    <row r="11" spans="1:27">
      <c r="A11" s="7"/>
      <c r="B11" s="7"/>
      <c r="C11" s="2" t="e">
        <f>#REF!</f>
        <v>#REF!</v>
      </c>
      <c r="D11" s="1" t="e">
        <f>#REF!</f>
        <v>#REF!</v>
      </c>
      <c r="E11" s="15" t="e">
        <f t="shared" si="0"/>
        <v>#REF!</v>
      </c>
      <c r="F11" s="8" t="str">
        <f t="shared" si="1"/>
        <v xml:space="preserve"> </v>
      </c>
      <c r="G11" s="12" t="str">
        <f t="array" ref="G11">IF(ISBLANK(N11)," ",_xlfn.XLOOKUP(D11,#REF!,#REF!))</f>
        <v xml:space="preserve"> </v>
      </c>
      <c r="H11" s="13">
        <f t="shared" si="2"/>
        <v>0</v>
      </c>
      <c r="I11" s="8" t="str">
        <f t="array" ref="I11">IF(ISBLANK(K11)," ",_xlfn.XLOOKUP(D11,#REF!,#REF!))</f>
        <v xml:space="preserve"> </v>
      </c>
      <c r="J11" s="8" t="str">
        <f t="array" ref="J11">IF(ISBLANK(N11)," ",_xlfn.XLOOKUP(F11,Edades!$A$2:$A$101,IF(I11="F",Edades!$B$2:$B$101,Edades!$C$2:$C$101)))</f>
        <v xml:space="preserve"> </v>
      </c>
      <c r="K11" s="8"/>
      <c r="L11" s="8"/>
      <c r="M11" s="13"/>
      <c r="N11" s="8"/>
      <c r="O11" s="8"/>
      <c r="P11" s="8"/>
      <c r="Q11" s="8"/>
      <c r="R11" s="8"/>
      <c r="S11" s="8"/>
      <c r="T11" s="7"/>
      <c r="U11" s="7"/>
      <c r="V11" s="7"/>
      <c r="W11" s="7"/>
      <c r="X11" s="7"/>
      <c r="Y11" s="7"/>
      <c r="Z11" s="7"/>
      <c r="AA11" s="7"/>
    </row>
    <row r="12" spans="1:27">
      <c r="A12" s="7"/>
      <c r="B12" s="7"/>
      <c r="C12" s="2" t="e">
        <f>#REF!</f>
        <v>#REF!</v>
      </c>
      <c r="D12" s="1" t="e">
        <f>#REF!</f>
        <v>#REF!</v>
      </c>
      <c r="E12" s="15" t="e">
        <f t="shared" si="0"/>
        <v>#REF!</v>
      </c>
      <c r="F12" s="8" t="e">
        <f t="shared" ca="1" si="1"/>
        <v>#NAME?</v>
      </c>
      <c r="G12" s="12" t="e">
        <f t="array" aca="1" ref="G12" ca="1">IF(ISBLANK(N12)," ",_xlfn.XLOOKUP(D12,#REF!,#REF!))</f>
        <v>#NAME?</v>
      </c>
      <c r="H12" s="13" t="str">
        <f t="shared" ca="1" si="2"/>
        <v>2026-01-23</v>
      </c>
      <c r="I12" s="8" t="e">
        <f t="array" aca="1" ref="I12" ca="1">IF(ISBLANK(K12)," ",_xlfn.XLOOKUP(D12,#REF!,#REF!))</f>
        <v>#NAME?</v>
      </c>
      <c r="J12" s="8" t="e">
        <f t="array" aca="1" ref="J12" ca="1">IF(ISBLANK(N12)," ",_xlfn.XLOOKUP(F12,Edades!$A$2:$A$101,IF(I12="F",Edades!$B$2:$B$101,Edades!$C$2:$C$101)))</f>
        <v>#NAME?</v>
      </c>
      <c r="K12" s="8" t="str">
        <f ca="1">IFERROR(__xludf.DUMMYFUNCTION("index(query(importjson(E12)),2,)"),"83318")</f>
        <v>83318</v>
      </c>
      <c r="L12" s="8" t="str">
        <f ca="1">IFERROR(__xludf.DUMMYFUNCTION("""COMPUTED_VALUE"""),"2025")</f>
        <v>2025</v>
      </c>
      <c r="M12" s="13" t="str">
        <f ca="1">IFERROR(__xludf.DUMMYFUNCTION("""COMPUTED_VALUE"""),"31411")</f>
        <v>31411</v>
      </c>
      <c r="N12" s="8" t="str">
        <f ca="1">IFERROR(__xludf.DUMMYFUNCTION("""COMPUTED_VALUE"""),"ISU Speed Skating World Cup #5")</f>
        <v>ISU Speed Skating World Cup #5</v>
      </c>
      <c r="O12" s="8" t="str">
        <f ca="1">IFERROR(__xludf.DUMMYFUNCTION("""COMPUTED_VALUE"""),"2026-01-23")</f>
        <v>2026-01-23</v>
      </c>
      <c r="P12" s="8" t="str">
        <f ca="1">IFERROR(__xludf.DUMMYFUNCTION("""COMPUTED_VALUE"""),"2026-01-25")</f>
        <v>2026-01-25</v>
      </c>
      <c r="Q12" s="8" t="str">
        <f ca="1">IFERROR(__xludf.DUMMYFUNCTION("""COMPUTED_VALUE"""),"Inzell (GER)")</f>
        <v>Inzell (GER)</v>
      </c>
      <c r="R12" s="8" t="str">
        <f ca="1">IFERROR(__xludf.DUMMYFUNCTION("""COMPUTED_VALUE"""),"11")</f>
        <v>11</v>
      </c>
      <c r="S12" s="18" t="str">
        <f ca="1">IFERROR(__xludf.DUMMYFUNCTION("""COMPUTED_VALUE"""),"http://speedskatingresults.com/index.php?p=2&amp;e=31411&amp;s=83318")</f>
        <v>http://speedskatingresults.com/index.php?p=2&amp;e=31411&amp;s=83318</v>
      </c>
      <c r="T12" s="7"/>
      <c r="U12" s="7"/>
      <c r="V12" s="7"/>
      <c r="W12" s="7"/>
      <c r="X12" s="7"/>
      <c r="Y12" s="7"/>
      <c r="Z12" s="7"/>
      <c r="AA12" s="7"/>
    </row>
    <row r="13" spans="1:27">
      <c r="A13" s="7"/>
      <c r="B13" s="7"/>
      <c r="C13" s="2" t="e">
        <f>#REF!</f>
        <v>#REF!</v>
      </c>
      <c r="D13" s="1" t="e">
        <f>#REF!</f>
        <v>#REF!</v>
      </c>
      <c r="E13" s="15" t="e">
        <f t="shared" si="0"/>
        <v>#REF!</v>
      </c>
      <c r="F13" s="8" t="str">
        <f t="shared" si="1"/>
        <v xml:space="preserve"> </v>
      </c>
      <c r="G13" s="12" t="str">
        <f t="array" ref="G13">IF(ISBLANK(N13)," ",_xlfn.XLOOKUP(D13,#REF!,#REF!))</f>
        <v xml:space="preserve"> </v>
      </c>
      <c r="H13" s="13">
        <f t="shared" si="2"/>
        <v>0</v>
      </c>
      <c r="I13" s="8" t="str">
        <f t="array" ref="I13">IF(ISBLANK(K13)," ",_xlfn.XLOOKUP(D13,#REF!,#REF!))</f>
        <v xml:space="preserve"> </v>
      </c>
      <c r="J13" s="8" t="str">
        <f t="array" ref="J13">IF(ISBLANK(N13)," ",_xlfn.XLOOKUP(F13,Edades!$A$2:$A$101,IF(I13="F",Edades!$B$2:$B$101,Edades!$C$2:$C$101)))</f>
        <v xml:space="preserve"> </v>
      </c>
      <c r="K13" s="8"/>
      <c r="L13" s="8"/>
      <c r="M13" s="13"/>
      <c r="N13" s="8"/>
      <c r="O13" s="8"/>
      <c r="P13" s="8"/>
      <c r="Q13" s="8"/>
      <c r="R13" s="8"/>
      <c r="S13" s="8"/>
      <c r="T13" s="7"/>
      <c r="U13" s="7"/>
      <c r="V13" s="7"/>
      <c r="W13" s="7"/>
      <c r="X13" s="7"/>
      <c r="Y13" s="7"/>
      <c r="Z13" s="7"/>
      <c r="AA13" s="7"/>
    </row>
    <row r="14" spans="1:27">
      <c r="A14" s="7"/>
      <c r="B14" s="7"/>
      <c r="C14" s="2" t="e">
        <f>#REF!</f>
        <v>#REF!</v>
      </c>
      <c r="D14" s="1" t="e">
        <f>#REF!</f>
        <v>#REF!</v>
      </c>
      <c r="E14" s="15" t="e">
        <f t="shared" si="0"/>
        <v>#REF!</v>
      </c>
      <c r="F14" s="8" t="str">
        <f t="shared" si="1"/>
        <v xml:space="preserve"> </v>
      </c>
      <c r="G14" s="12" t="str">
        <f t="array" ref="G14">IF(ISBLANK(N14)," ",_xlfn.XLOOKUP(D14,#REF!,#REF!))</f>
        <v xml:space="preserve"> </v>
      </c>
      <c r="H14" s="13">
        <f t="shared" si="2"/>
        <v>0</v>
      </c>
      <c r="I14" s="8" t="str">
        <f t="array" ref="I14">IF(ISBLANK(K14)," ",_xlfn.XLOOKUP(D14,#REF!,#REF!))</f>
        <v xml:space="preserve"> </v>
      </c>
      <c r="J14" s="8" t="str">
        <f t="array" ref="J14">IF(ISBLANK(N14)," ",_xlfn.XLOOKUP(F14,Edades!$A$2:$A$101,IF(I14="F",Edades!$B$2:$B$101,Edades!$C$2:$C$101)))</f>
        <v xml:space="preserve"> </v>
      </c>
      <c r="K14" s="8"/>
      <c r="L14" s="8"/>
      <c r="M14" s="13"/>
      <c r="N14" s="8"/>
      <c r="O14" s="8"/>
      <c r="P14" s="8"/>
      <c r="Q14" s="8"/>
      <c r="R14" s="8"/>
      <c r="S14" s="8"/>
      <c r="T14" s="7"/>
      <c r="U14" s="7"/>
      <c r="V14" s="7"/>
      <c r="W14" s="7"/>
      <c r="X14" s="7"/>
      <c r="Y14" s="7"/>
      <c r="Z14" s="7"/>
      <c r="AA14" s="7"/>
    </row>
    <row r="15" spans="1:27">
      <c r="A15" s="7"/>
      <c r="B15" s="7"/>
      <c r="C15" s="2" t="e">
        <f>#REF!</f>
        <v>#REF!</v>
      </c>
      <c r="D15" s="1" t="e">
        <f>#REF!</f>
        <v>#REF!</v>
      </c>
      <c r="E15" s="15" t="e">
        <f t="shared" si="0"/>
        <v>#REF!</v>
      </c>
      <c r="F15" s="8" t="str">
        <f t="shared" si="1"/>
        <v xml:space="preserve"> </v>
      </c>
      <c r="G15" s="12" t="str">
        <f t="array" ref="G15">IF(ISBLANK(N15)," ",_xlfn.XLOOKUP(D15,#REF!,#REF!))</f>
        <v xml:space="preserve"> </v>
      </c>
      <c r="H15" s="13">
        <f t="shared" si="2"/>
        <v>0</v>
      </c>
      <c r="I15" s="8" t="str">
        <f t="array" ref="I15">IF(ISBLANK(K15)," ",_xlfn.XLOOKUP(D15,#REF!,#REF!))</f>
        <v xml:space="preserve"> </v>
      </c>
      <c r="J15" s="8" t="str">
        <f t="array" ref="J15">IF(ISBLANK(N15)," ",_xlfn.XLOOKUP(F15,Edades!$A$2:$A$101,IF(I15="F",Edades!$B$2:$B$101,Edades!$C$2:$C$101)))</f>
        <v xml:space="preserve"> </v>
      </c>
      <c r="K15" s="8"/>
      <c r="L15" s="8"/>
      <c r="M15" s="13"/>
      <c r="N15" s="8"/>
      <c r="O15" s="8"/>
      <c r="P15" s="8"/>
      <c r="Q15" s="8"/>
      <c r="R15" s="8"/>
      <c r="S15" s="8"/>
      <c r="T15" s="7"/>
      <c r="U15" s="7"/>
      <c r="V15" s="7"/>
      <c r="W15" s="7"/>
      <c r="X15" s="7"/>
      <c r="Y15" s="7"/>
      <c r="Z15" s="7"/>
      <c r="AA15" s="7"/>
    </row>
    <row r="16" spans="1:27">
      <c r="A16" s="7"/>
      <c r="B16" s="7"/>
      <c r="C16" s="2" t="e">
        <f>#REF!</f>
        <v>#REF!</v>
      </c>
      <c r="D16" s="1" t="e">
        <f>#REF!</f>
        <v>#REF!</v>
      </c>
      <c r="E16" s="15" t="e">
        <f t="shared" si="0"/>
        <v>#REF!</v>
      </c>
      <c r="F16" s="8" t="e">
        <f t="shared" ca="1" si="1"/>
        <v>#NAME?</v>
      </c>
      <c r="G16" s="12" t="e">
        <f t="array" aca="1" ref="G16" ca="1">IF(ISBLANK(N16)," ",_xlfn.XLOOKUP(D16,#REF!,#REF!))</f>
        <v>#NAME?</v>
      </c>
      <c r="H16" s="13" t="str">
        <f t="shared" ca="1" si="2"/>
        <v>2025-10-24</v>
      </c>
      <c r="I16" s="8" t="e">
        <f t="array" aca="1" ref="I16" ca="1">IF(ISBLANK(K16)," ",_xlfn.XLOOKUP(D16,#REF!,#REF!))</f>
        <v>#NAME?</v>
      </c>
      <c r="J16" s="8" t="e">
        <f t="array" aca="1" ref="J16" ca="1">IF(ISBLANK(N16)," ",_xlfn.XLOOKUP(F16,Edades!$A$2:$A$101,IF(I16="F",Edades!$B$2:$B$101,Edades!$C$2:$C$101)))</f>
        <v>#NAME?</v>
      </c>
      <c r="K16" s="8" t="str">
        <f ca="1">IFERROR(__xludf.DUMMYFUNCTION("index(query(importjson(E16)),2,)"),"120619")</f>
        <v>120619</v>
      </c>
      <c r="L16" s="8" t="str">
        <f ca="1">IFERROR(__xludf.DUMMYFUNCTION("""COMPUTED_VALUE"""),"2025")</f>
        <v>2025</v>
      </c>
      <c r="M16" s="13" t="str">
        <f ca="1">IFERROR(__xludf.DUMMYFUNCTION("""COMPUTED_VALUE"""),"30591")</f>
        <v>30591</v>
      </c>
      <c r="N16" s="8" t="str">
        <f ca="1">IFERROR(__xludf.DUMMYFUNCTION("""COMPUTED_VALUE"""),"International Race")</f>
        <v>International Race</v>
      </c>
      <c r="O16" s="8" t="str">
        <f ca="1">IFERROR(__xludf.DUMMYFUNCTION("""COMPUTED_VALUE"""),"2025-10-24")</f>
        <v>2025-10-24</v>
      </c>
      <c r="P16" s="8" t="str">
        <f ca="1">IFERROR(__xludf.DUMMYFUNCTION("""COMPUTED_VALUE"""),"2025-10-26")</f>
        <v>2025-10-26</v>
      </c>
      <c r="Q16" s="8" t="str">
        <f ca="1">IFERROR(__xludf.DUMMYFUNCTION("""COMPUTED_VALUE"""),"Inzell (GER)")</f>
        <v>Inzell (GER)</v>
      </c>
      <c r="R16" s="8" t="str">
        <f ca="1">IFERROR(__xludf.DUMMYFUNCTION("""COMPUTED_VALUE"""),"11")</f>
        <v>11</v>
      </c>
      <c r="S16" s="18" t="str">
        <f ca="1">IFERROR(__xludf.DUMMYFUNCTION("""COMPUTED_VALUE"""),"http://speedskatingresults.com/index.php?p=2&amp;e=30591&amp;s=120619")</f>
        <v>http://speedskatingresults.com/index.php?p=2&amp;e=30591&amp;s=120619</v>
      </c>
      <c r="T16" s="7"/>
      <c r="U16" s="7"/>
      <c r="V16" s="7"/>
      <c r="W16" s="7"/>
      <c r="X16" s="7"/>
      <c r="Y16" s="7"/>
      <c r="Z16" s="7"/>
      <c r="AA16" s="7"/>
    </row>
    <row r="17" spans="1:27">
      <c r="A17" s="7"/>
      <c r="B17" s="7"/>
      <c r="C17" s="2" t="e">
        <f>#REF!</f>
        <v>#REF!</v>
      </c>
      <c r="D17" s="1" t="e">
        <f>#REF!</f>
        <v>#REF!</v>
      </c>
      <c r="E17" s="15" t="e">
        <f t="shared" si="0"/>
        <v>#REF!</v>
      </c>
      <c r="F17" s="8" t="str">
        <f t="shared" si="1"/>
        <v xml:space="preserve"> </v>
      </c>
      <c r="G17" s="12" t="str">
        <f t="array" ref="G17">IF(ISBLANK(N17)," ",_xlfn.XLOOKUP(D17,#REF!,#REF!))</f>
        <v xml:space="preserve"> </v>
      </c>
      <c r="H17" s="13">
        <f t="shared" si="2"/>
        <v>0</v>
      </c>
      <c r="I17" s="8" t="str">
        <f t="array" ref="I17">IF(ISBLANK(K17)," ",_xlfn.XLOOKUP(D17,#REF!,#REF!))</f>
        <v xml:space="preserve"> </v>
      </c>
      <c r="J17" s="8" t="str">
        <f t="array" ref="J17">IF(ISBLANK(N17)," ",_xlfn.XLOOKUP(F17,Edades!$A$2:$A$101,IF(I17="F",Edades!$B$2:$B$101,Edades!$C$2:$C$101)))</f>
        <v xml:space="preserve"> </v>
      </c>
      <c r="K17" s="8"/>
      <c r="L17" s="8"/>
      <c r="M17" s="13"/>
      <c r="N17" s="8"/>
      <c r="O17" s="8"/>
      <c r="P17" s="8"/>
      <c r="Q17" s="8"/>
      <c r="R17" s="8"/>
      <c r="S17" s="8"/>
      <c r="T17" s="7"/>
      <c r="U17" s="7"/>
      <c r="V17" s="7"/>
      <c r="W17" s="7"/>
      <c r="X17" s="7"/>
      <c r="Y17" s="7"/>
      <c r="Z17" s="7"/>
      <c r="AA17" s="7"/>
    </row>
    <row r="18" spans="1:27">
      <c r="A18" s="7"/>
      <c r="B18" s="7"/>
      <c r="C18" s="2" t="e">
        <f>#REF!</f>
        <v>#REF!</v>
      </c>
      <c r="D18" s="1" t="e">
        <f>#REF!</f>
        <v>#REF!</v>
      </c>
      <c r="E18" s="15" t="e">
        <f t="shared" si="0"/>
        <v>#REF!</v>
      </c>
      <c r="F18" s="8" t="str">
        <f t="shared" si="1"/>
        <v xml:space="preserve"> </v>
      </c>
      <c r="G18" s="12" t="str">
        <f t="array" ref="G18">IF(ISBLANK(N18)," ",_xlfn.XLOOKUP(D18,#REF!,#REF!))</f>
        <v xml:space="preserve"> </v>
      </c>
      <c r="H18" s="13">
        <f t="shared" si="2"/>
        <v>0</v>
      </c>
      <c r="I18" s="8" t="str">
        <f t="array" ref="I18">IF(ISBLANK(K18)," ",_xlfn.XLOOKUP(D18,#REF!,#REF!))</f>
        <v xml:space="preserve"> </v>
      </c>
      <c r="J18" s="8" t="str">
        <f t="array" ref="J18">IF(ISBLANK(N18)," ",_xlfn.XLOOKUP(F18,Edades!$A$2:$A$101,IF(I18="F",Edades!$B$2:$B$101,Edades!$C$2:$C$101)))</f>
        <v xml:space="preserve"> </v>
      </c>
      <c r="K18" s="8"/>
      <c r="L18" s="8"/>
      <c r="M18" s="13"/>
      <c r="N18" s="8"/>
      <c r="O18" s="8"/>
      <c r="P18" s="8"/>
      <c r="Q18" s="8"/>
      <c r="R18" s="8"/>
      <c r="S18" s="8"/>
      <c r="T18" s="7"/>
      <c r="U18" s="7"/>
      <c r="V18" s="7"/>
      <c r="W18" s="7"/>
      <c r="X18" s="7"/>
      <c r="Y18" s="7"/>
      <c r="Z18" s="7"/>
      <c r="AA18" s="7"/>
    </row>
    <row r="19" spans="1:27">
      <c r="A19" s="7"/>
      <c r="B19" s="7"/>
      <c r="C19" s="2" t="e">
        <f>#REF!</f>
        <v>#REF!</v>
      </c>
      <c r="D19" s="1" t="e">
        <f>#REF!</f>
        <v>#REF!</v>
      </c>
      <c r="E19" s="15" t="e">
        <f t="shared" si="0"/>
        <v>#REF!</v>
      </c>
      <c r="F19" s="8" t="e">
        <f t="shared" ca="1" si="1"/>
        <v>#NAME?</v>
      </c>
      <c r="G19" s="12" t="e">
        <f t="array" aca="1" ref="G19" ca="1">IF(ISBLANK(N19)," ",_xlfn.XLOOKUP(D19,#REF!,#REF!))</f>
        <v>#NAME?</v>
      </c>
      <c r="H19" s="13" t="str">
        <f t="shared" ca="1" si="2"/>
        <v>2026-02-21</v>
      </c>
      <c r="I19" s="8" t="e">
        <f t="array" aca="1" ref="I19" ca="1">IF(ISBLANK(K19)," ",_xlfn.XLOOKUP(D19,#REF!,#REF!))</f>
        <v>#NAME?</v>
      </c>
      <c r="J19" s="8" t="e">
        <f t="array" aca="1" ref="J19" ca="1">IF(ISBLANK(N19)," ",_xlfn.XLOOKUP(F19,Edades!$A$2:$A$101,IF(I19="F",Edades!$B$2:$B$101,Edades!$C$2:$C$101)))</f>
        <v>#NAME?</v>
      </c>
      <c r="K19" s="8" t="str">
        <f ca="1">IFERROR(__xludf.DUMMYFUNCTION("index(query(importjson(E19)),2,)"),"114671")</f>
        <v>114671</v>
      </c>
      <c r="L19" s="8" t="str">
        <f ca="1">IFERROR(__xludf.DUMMYFUNCTION("""COMPUTED_VALUE"""),"2025")</f>
        <v>2025</v>
      </c>
      <c r="M19" s="13" t="str">
        <f ca="1">IFERROR(__xludf.DUMMYFUNCTION("""COMPUTED_VALUE"""),"31719")</f>
        <v>31719</v>
      </c>
      <c r="N19" s="8" t="str">
        <f ca="1">IFERROR(__xludf.DUMMYFUNCTION("""COMPUTED_VALUE"""),"ISU Speed Skating Junior World Cup #3")</f>
        <v>ISU Speed Skating Junior World Cup #3</v>
      </c>
      <c r="O19" s="8" t="str">
        <f ca="1">IFERROR(__xludf.DUMMYFUNCTION("""COMPUTED_VALUE"""),"2026-02-21")</f>
        <v>2026-02-21</v>
      </c>
      <c r="P19" s="8" t="str">
        <f ca="1">IFERROR(__xludf.DUMMYFUNCTION("""COMPUTED_VALUE"""),"2026-02-22")</f>
        <v>2026-02-22</v>
      </c>
      <c r="Q19" s="8" t="str">
        <f ca="1">IFERROR(__xludf.DUMMYFUNCTION("""COMPUTED_VALUE"""),"Inzell (GER)")</f>
        <v>Inzell (GER)</v>
      </c>
      <c r="R19" s="8" t="str">
        <f ca="1">IFERROR(__xludf.DUMMYFUNCTION("""COMPUTED_VALUE"""),"11")</f>
        <v>11</v>
      </c>
      <c r="S19" s="18" t="str">
        <f ca="1">IFERROR(__xludf.DUMMYFUNCTION("""COMPUTED_VALUE"""),"http://speedskatingresults.com/index.php?p=2&amp;e=31719&amp;s=114671")</f>
        <v>http://speedskatingresults.com/index.php?p=2&amp;e=31719&amp;s=114671</v>
      </c>
      <c r="T19" s="7"/>
      <c r="U19" s="7"/>
      <c r="V19" s="7"/>
      <c r="W19" s="7"/>
      <c r="X19" s="7"/>
      <c r="Y19" s="7"/>
      <c r="Z19" s="7"/>
      <c r="AA19" s="7"/>
    </row>
    <row r="20" spans="1:27">
      <c r="A20" s="7"/>
      <c r="B20" s="7"/>
      <c r="C20" s="2" t="e">
        <f>#REF!</f>
        <v>#REF!</v>
      </c>
      <c r="D20" s="1" t="e">
        <f>#REF!</f>
        <v>#REF!</v>
      </c>
      <c r="E20" s="15" t="e">
        <f t="shared" si="0"/>
        <v>#REF!</v>
      </c>
      <c r="F20" s="8" t="e">
        <f t="shared" ca="1" si="1"/>
        <v>#NAME?</v>
      </c>
      <c r="G20" s="12" t="e">
        <f t="array" aca="1" ref="G20" ca="1">IF(ISBLANK(N20)," ",_xlfn.XLOOKUP(D20,#REF!,#REF!))</f>
        <v>#NAME?</v>
      </c>
      <c r="H20" s="13" t="str">
        <f t="shared" ca="1" si="2"/>
        <v>2025-10-24</v>
      </c>
      <c r="I20" s="8" t="e">
        <f t="array" aca="1" ref="I20" ca="1">IF(ISBLANK(K20)," ",_xlfn.XLOOKUP(D20,#REF!,#REF!))</f>
        <v>#NAME?</v>
      </c>
      <c r="J20" s="8" t="e">
        <f t="array" aca="1" ref="J20" ca="1">IF(ISBLANK(N20)," ",_xlfn.XLOOKUP(F20,Edades!$A$2:$A$101,IF(I20="F",Edades!$B$2:$B$101,Edades!$C$2:$C$101)))</f>
        <v>#NAME?</v>
      </c>
      <c r="K20" s="8" t="str">
        <f ca="1">IFERROR(__xludf.DUMMYFUNCTION("index(query(importjson(E20)),2,)"),"115280")</f>
        <v>115280</v>
      </c>
      <c r="L20" s="8" t="str">
        <f ca="1">IFERROR(__xludf.DUMMYFUNCTION("""COMPUTED_VALUE"""),"2025")</f>
        <v>2025</v>
      </c>
      <c r="M20" s="13" t="str">
        <f ca="1">IFERROR(__xludf.DUMMYFUNCTION("""COMPUTED_VALUE"""),"30591")</f>
        <v>30591</v>
      </c>
      <c r="N20" s="8" t="str">
        <f ca="1">IFERROR(__xludf.DUMMYFUNCTION("""COMPUTED_VALUE"""),"International Race")</f>
        <v>International Race</v>
      </c>
      <c r="O20" s="8" t="str">
        <f ca="1">IFERROR(__xludf.DUMMYFUNCTION("""COMPUTED_VALUE"""),"2025-10-24")</f>
        <v>2025-10-24</v>
      </c>
      <c r="P20" s="8" t="str">
        <f ca="1">IFERROR(__xludf.DUMMYFUNCTION("""COMPUTED_VALUE"""),"2025-10-26")</f>
        <v>2025-10-26</v>
      </c>
      <c r="Q20" s="8" t="str">
        <f ca="1">IFERROR(__xludf.DUMMYFUNCTION("""COMPUTED_VALUE"""),"Inzell (GER)")</f>
        <v>Inzell (GER)</v>
      </c>
      <c r="R20" s="8" t="str">
        <f ca="1">IFERROR(__xludf.DUMMYFUNCTION("""COMPUTED_VALUE"""),"11")</f>
        <v>11</v>
      </c>
      <c r="S20" s="18" t="str">
        <f ca="1">IFERROR(__xludf.DUMMYFUNCTION("""COMPUTED_VALUE"""),"http://speedskatingresults.com/index.php?p=2&amp;e=30591&amp;s=115280")</f>
        <v>http://speedskatingresults.com/index.php?p=2&amp;e=30591&amp;s=115280</v>
      </c>
      <c r="T20" s="7"/>
      <c r="U20" s="7"/>
      <c r="V20" s="7"/>
      <c r="W20" s="7"/>
      <c r="X20" s="7"/>
      <c r="Y20" s="7"/>
      <c r="Z20" s="7"/>
      <c r="AA20" s="7"/>
    </row>
    <row r="21" spans="1:27">
      <c r="A21" s="7"/>
      <c r="B21" s="7"/>
      <c r="C21" s="2" t="e">
        <f>#REF!</f>
        <v>#REF!</v>
      </c>
      <c r="D21" s="1" t="e">
        <f>#REF!</f>
        <v>#REF!</v>
      </c>
      <c r="E21" s="15" t="e">
        <f t="shared" si="0"/>
        <v>#REF!</v>
      </c>
      <c r="F21" s="8" t="str">
        <f t="shared" si="1"/>
        <v xml:space="preserve"> </v>
      </c>
      <c r="G21" s="12" t="str">
        <f t="array" ref="G21">IF(ISBLANK(N21)," ",_xlfn.XLOOKUP(D21,#REF!,#REF!))</f>
        <v xml:space="preserve"> </v>
      </c>
      <c r="H21" s="13">
        <f t="shared" si="2"/>
        <v>0</v>
      </c>
      <c r="I21" s="8" t="str">
        <f t="array" ref="I21">IF(ISBLANK(K21)," ",_xlfn.XLOOKUP(D21,#REF!,#REF!))</f>
        <v xml:space="preserve"> </v>
      </c>
      <c r="J21" s="8" t="str">
        <f t="array" ref="J21">IF(ISBLANK(N21)," ",_xlfn.XLOOKUP(F21,Edades!$A$2:$A$101,IF(I21="F",Edades!$B$2:$B$101,Edades!$C$2:$C$101)))</f>
        <v xml:space="preserve"> </v>
      </c>
      <c r="K21" s="8"/>
      <c r="L21" s="8"/>
      <c r="M21" s="13"/>
      <c r="N21" s="8"/>
      <c r="O21" s="8"/>
      <c r="P21" s="8"/>
      <c r="Q21" s="8"/>
      <c r="R21" s="8"/>
      <c r="S21" s="8"/>
      <c r="T21" s="7"/>
      <c r="U21" s="7"/>
      <c r="V21" s="7"/>
      <c r="W21" s="7"/>
      <c r="X21" s="7"/>
      <c r="Y21" s="7"/>
      <c r="Z21" s="7"/>
      <c r="AA21" s="7"/>
    </row>
    <row r="22" spans="1:27">
      <c r="A22" s="7"/>
      <c r="B22" s="7"/>
      <c r="C22" s="2" t="e">
        <f>#REF!</f>
        <v>#REF!</v>
      </c>
      <c r="D22" s="1" t="e">
        <f>#REF!</f>
        <v>#REF!</v>
      </c>
      <c r="E22" s="15" t="e">
        <f t="shared" si="0"/>
        <v>#REF!</v>
      </c>
      <c r="F22" s="8" t="e">
        <f t="shared" ca="1" si="1"/>
        <v>#NAME?</v>
      </c>
      <c r="G22" s="12" t="e">
        <f t="array" aca="1" ref="G22" ca="1">IF(ISBLANK(N22)," ",_xlfn.XLOOKUP(D22,#REF!,#REF!))</f>
        <v>#NAME?</v>
      </c>
      <c r="H22" s="13" t="str">
        <f t="shared" ca="1" si="2"/>
        <v>2026-02-27</v>
      </c>
      <c r="I22" s="8" t="e">
        <f t="array" aca="1" ref="I22" ca="1">IF(ISBLANK(K22)," ",_xlfn.XLOOKUP(D22,#REF!,#REF!))</f>
        <v>#NAME?</v>
      </c>
      <c r="J22" s="8" t="e">
        <f t="array" aca="1" ref="J22" ca="1">IF(ISBLANK(N22)," ",_xlfn.XLOOKUP(F22,Edades!$A$2:$A$101,IF(I22="F",Edades!$B$2:$B$101,Edades!$C$2:$C$101)))</f>
        <v>#NAME?</v>
      </c>
      <c r="K22" s="8" t="str">
        <f ca="1">IFERROR(__xludf.DUMMYFUNCTION("index(query(importjson(E22)),2,)"),"86207")</f>
        <v>86207</v>
      </c>
      <c r="L22" s="8" t="str">
        <f ca="1">IFERROR(__xludf.DUMMYFUNCTION("""COMPUTED_VALUE"""),"2025")</f>
        <v>2025</v>
      </c>
      <c r="M22" s="13" t="str">
        <f ca="1">IFERROR(__xludf.DUMMYFUNCTION("""COMPUTED_VALUE"""),"31773")</f>
        <v>31773</v>
      </c>
      <c r="N22" s="8" t="str">
        <f ca="1">IFERROR(__xludf.DUMMYFUNCTION("""COMPUTED_VALUE"""),"ISU Junior World Championships 2026")</f>
        <v>ISU Junior World Championships 2026</v>
      </c>
      <c r="O22" s="8" t="str">
        <f ca="1">IFERROR(__xludf.DUMMYFUNCTION("""COMPUTED_VALUE"""),"2026-02-27")</f>
        <v>2026-02-27</v>
      </c>
      <c r="P22" s="8" t="str">
        <f ca="1">IFERROR(__xludf.DUMMYFUNCTION("""COMPUTED_VALUE"""),"2026-03-01")</f>
        <v>2026-03-01</v>
      </c>
      <c r="Q22" s="8" t="str">
        <f ca="1">IFERROR(__xludf.DUMMYFUNCTION("""COMPUTED_VALUE"""),"Inzell (GER)")</f>
        <v>Inzell (GER)</v>
      </c>
      <c r="R22" s="8" t="str">
        <f ca="1">IFERROR(__xludf.DUMMYFUNCTION("""COMPUTED_VALUE"""),"11")</f>
        <v>11</v>
      </c>
      <c r="S22" s="18" t="str">
        <f ca="1">IFERROR(__xludf.DUMMYFUNCTION("""COMPUTED_VALUE"""),"http://speedskatingresults.com/index.php?p=2&amp;e=31773&amp;s=86207")</f>
        <v>http://speedskatingresults.com/index.php?p=2&amp;e=31773&amp;s=86207</v>
      </c>
      <c r="T22" s="7"/>
      <c r="U22" s="7"/>
      <c r="V22" s="7"/>
      <c r="W22" s="7"/>
      <c r="X22" s="7"/>
      <c r="Y22" s="7"/>
      <c r="Z22" s="7"/>
      <c r="AA22" s="7"/>
    </row>
    <row r="23" spans="1:27">
      <c r="A23" s="7"/>
      <c r="B23" s="7"/>
      <c r="C23" s="2" t="e">
        <f>#REF!</f>
        <v>#REF!</v>
      </c>
      <c r="D23" s="1" t="e">
        <f>#REF!</f>
        <v>#REF!</v>
      </c>
      <c r="E23" s="15" t="e">
        <f t="shared" si="0"/>
        <v>#REF!</v>
      </c>
      <c r="F23" s="8" t="str">
        <f t="shared" si="1"/>
        <v xml:space="preserve"> </v>
      </c>
      <c r="G23" s="12" t="str">
        <f t="array" ref="G23">IF(ISBLANK(N23)," ",_xlfn.XLOOKUP(D23,#REF!,#REF!))</f>
        <v xml:space="preserve"> </v>
      </c>
      <c r="H23" s="13">
        <f t="shared" si="2"/>
        <v>0</v>
      </c>
      <c r="I23" s="8" t="str">
        <f t="array" ref="I23">IF(ISBLANK(K23)," ",_xlfn.XLOOKUP(D23,#REF!,#REF!))</f>
        <v xml:space="preserve"> </v>
      </c>
      <c r="J23" s="8" t="str">
        <f t="array" ref="J23">IF(ISBLANK(N23)," ",_xlfn.XLOOKUP(F23,Edades!$A$2:$A$101,IF(I23="F",Edades!$B$2:$B$101,Edades!$C$2:$C$101)))</f>
        <v xml:space="preserve"> </v>
      </c>
      <c r="K23" s="8"/>
      <c r="L23" s="8"/>
      <c r="M23" s="13"/>
      <c r="N23" s="8"/>
      <c r="O23" s="8"/>
      <c r="P23" s="8"/>
      <c r="Q23" s="8"/>
      <c r="R23" s="8"/>
      <c r="S23" s="8"/>
      <c r="T23" s="7"/>
      <c r="U23" s="7"/>
      <c r="V23" s="7"/>
      <c r="W23" s="7"/>
      <c r="X23" s="7"/>
      <c r="Y23" s="7"/>
      <c r="Z23" s="7"/>
      <c r="AA23" s="7"/>
    </row>
    <row r="24" spans="1:27">
      <c r="A24" s="7"/>
      <c r="B24" s="7"/>
      <c r="C24" s="2" t="e">
        <f>#REF!</f>
        <v>#REF!</v>
      </c>
      <c r="D24" s="1" t="e">
        <f>#REF!</f>
        <v>#REF!</v>
      </c>
      <c r="E24" s="15" t="e">
        <f t="shared" si="0"/>
        <v>#REF!</v>
      </c>
      <c r="F24" s="8" t="e">
        <f t="shared" ca="1" si="1"/>
        <v>#NAME?</v>
      </c>
      <c r="G24" s="12" t="e">
        <f t="array" aca="1" ref="G24" ca="1">IF(ISBLANK(N24)," ",_xlfn.XLOOKUP(D24,#REF!,#REF!))</f>
        <v>#NAME?</v>
      </c>
      <c r="H24" s="13" t="str">
        <f t="shared" ca="1" si="2"/>
        <v>2025-10-24</v>
      </c>
      <c r="I24" s="8" t="e">
        <f t="array" aca="1" ref="I24" ca="1">IF(ISBLANK(K24)," ",_xlfn.XLOOKUP(D24,#REF!,#REF!))</f>
        <v>#NAME?</v>
      </c>
      <c r="J24" s="8" t="e">
        <f t="array" aca="1" ref="J24" ca="1">IF(ISBLANK(N24)," ",_xlfn.XLOOKUP(F24,Edades!$A$2:$A$101,IF(I24="F",Edades!$B$2:$B$101,Edades!$C$2:$C$101)))</f>
        <v>#NAME?</v>
      </c>
      <c r="K24" s="8" t="str">
        <f ca="1">IFERROR(__xludf.DUMMYFUNCTION("index(query(importjson(E24)),2,)"),"114230")</f>
        <v>114230</v>
      </c>
      <c r="L24" s="8" t="str">
        <f ca="1">IFERROR(__xludf.DUMMYFUNCTION("""COMPUTED_VALUE"""),"2025")</f>
        <v>2025</v>
      </c>
      <c r="M24" s="13" t="str">
        <f ca="1">IFERROR(__xludf.DUMMYFUNCTION("""COMPUTED_VALUE"""),"30591")</f>
        <v>30591</v>
      </c>
      <c r="N24" s="8" t="str">
        <f ca="1">IFERROR(__xludf.DUMMYFUNCTION("""COMPUTED_VALUE"""),"International Race")</f>
        <v>International Race</v>
      </c>
      <c r="O24" s="8" t="str">
        <f ca="1">IFERROR(__xludf.DUMMYFUNCTION("""COMPUTED_VALUE"""),"2025-10-24")</f>
        <v>2025-10-24</v>
      </c>
      <c r="P24" s="8" t="str">
        <f ca="1">IFERROR(__xludf.DUMMYFUNCTION("""COMPUTED_VALUE"""),"2025-10-26")</f>
        <v>2025-10-26</v>
      </c>
      <c r="Q24" s="8" t="str">
        <f ca="1">IFERROR(__xludf.DUMMYFUNCTION("""COMPUTED_VALUE"""),"Inzell (GER)")</f>
        <v>Inzell (GER)</v>
      </c>
      <c r="R24" s="8" t="str">
        <f ca="1">IFERROR(__xludf.DUMMYFUNCTION("""COMPUTED_VALUE"""),"11")</f>
        <v>11</v>
      </c>
      <c r="S24" s="18" t="str">
        <f ca="1">IFERROR(__xludf.DUMMYFUNCTION("""COMPUTED_VALUE"""),"http://speedskatingresults.com/index.php?p=2&amp;e=30591&amp;s=114230")</f>
        <v>http://speedskatingresults.com/index.php?p=2&amp;e=30591&amp;s=114230</v>
      </c>
      <c r="T24" s="7"/>
      <c r="U24" s="7"/>
      <c r="V24" s="7"/>
      <c r="W24" s="7"/>
      <c r="X24" s="7"/>
      <c r="Y24" s="7"/>
      <c r="Z24" s="7"/>
      <c r="AA24" s="7"/>
    </row>
    <row r="25" spans="1:27">
      <c r="A25" s="7"/>
      <c r="B25" s="7"/>
      <c r="C25" s="2" t="e">
        <f>#REF!</f>
        <v>#REF!</v>
      </c>
      <c r="D25" s="1" t="e">
        <f>#REF!</f>
        <v>#REF!</v>
      </c>
      <c r="E25" s="15" t="e">
        <f t="shared" si="0"/>
        <v>#REF!</v>
      </c>
      <c r="F25" s="8" t="str">
        <f t="shared" si="1"/>
        <v xml:space="preserve"> </v>
      </c>
      <c r="G25" s="12" t="str">
        <f t="array" ref="G25">IF(ISBLANK(N25)," ",_xlfn.XLOOKUP(D25,#REF!,#REF!))</f>
        <v xml:space="preserve"> </v>
      </c>
      <c r="H25" s="13">
        <f t="shared" si="2"/>
        <v>0</v>
      </c>
      <c r="I25" s="8" t="str">
        <f t="array" ref="I25">IF(ISBLANK(K25)," ",_xlfn.XLOOKUP(D25,#REF!,#REF!))</f>
        <v xml:space="preserve"> </v>
      </c>
      <c r="J25" s="8" t="str">
        <f t="array" ref="J25">IF(ISBLANK(N25)," ",_xlfn.XLOOKUP(F25,Edades!$A$2:$A$101,IF(I25="F",Edades!$B$2:$B$101,Edades!$C$2:$C$101)))</f>
        <v xml:space="preserve"> </v>
      </c>
      <c r="K25" s="8"/>
      <c r="L25" s="8"/>
      <c r="M25" s="13"/>
      <c r="N25" s="8"/>
      <c r="O25" s="8"/>
      <c r="P25" s="8"/>
      <c r="Q25" s="8"/>
      <c r="R25" s="8"/>
      <c r="S25" s="8"/>
      <c r="T25" s="7"/>
      <c r="U25" s="7"/>
      <c r="V25" s="7"/>
      <c r="W25" s="7"/>
      <c r="X25" s="7"/>
      <c r="Y25" s="7"/>
      <c r="Z25" s="7"/>
      <c r="AA25" s="7"/>
    </row>
    <row r="26" spans="1:27">
      <c r="A26" s="7"/>
      <c r="B26" s="7"/>
      <c r="C26" s="2" t="e">
        <f>#REF!</f>
        <v>#REF!</v>
      </c>
      <c r="D26" s="1" t="e">
        <f>#REF!</f>
        <v>#REF!</v>
      </c>
      <c r="E26" s="15" t="e">
        <f t="shared" si="0"/>
        <v>#REF!</v>
      </c>
      <c r="F26" s="8" t="str">
        <f t="shared" si="1"/>
        <v xml:space="preserve"> </v>
      </c>
      <c r="G26" s="12" t="str">
        <f t="array" ref="G26">IF(ISBLANK(N26)," ",_xlfn.XLOOKUP(D26,#REF!,#REF!))</f>
        <v xml:space="preserve"> </v>
      </c>
      <c r="H26" s="13">
        <f t="shared" si="2"/>
        <v>0</v>
      </c>
      <c r="I26" s="8" t="str">
        <f t="array" ref="I26">IF(ISBLANK(K26)," ",_xlfn.XLOOKUP(D26,#REF!,#REF!))</f>
        <v xml:space="preserve"> </v>
      </c>
      <c r="J26" s="8" t="str">
        <f t="array" ref="J26">IF(ISBLANK(N26)," ",_xlfn.XLOOKUP(F26,Edades!$A$2:$A$101,IF(I26="F",Edades!$B$2:$B$101,Edades!$C$2:$C$101)))</f>
        <v xml:space="preserve"> </v>
      </c>
      <c r="K26" s="8"/>
      <c r="L26" s="8"/>
      <c r="M26" s="13"/>
      <c r="N26" s="8"/>
      <c r="O26" s="8"/>
      <c r="P26" s="8"/>
      <c r="Q26" s="8"/>
      <c r="R26" s="8"/>
      <c r="S26" s="8"/>
      <c r="T26" s="7"/>
      <c r="U26" s="7"/>
      <c r="V26" s="7"/>
      <c r="W26" s="7"/>
      <c r="X26" s="7"/>
      <c r="Y26" s="7"/>
      <c r="Z26" s="7"/>
      <c r="AA26" s="7"/>
    </row>
    <row r="27" spans="1:27">
      <c r="A27" s="7"/>
      <c r="B27" s="7"/>
      <c r="C27" s="2" t="e">
        <f>#REF!</f>
        <v>#REF!</v>
      </c>
      <c r="D27" s="1" t="e">
        <f>#REF!</f>
        <v>#REF!</v>
      </c>
      <c r="E27" s="15" t="e">
        <f t="shared" si="0"/>
        <v>#REF!</v>
      </c>
      <c r="F27" s="8" t="e">
        <f t="shared" ca="1" si="1"/>
        <v>#NAME?</v>
      </c>
      <c r="G27" s="12" t="e">
        <f t="array" aca="1" ref="G27" ca="1">IF(ISBLANK(N27)," ",_xlfn.XLOOKUP(D27,#REF!,#REF!))</f>
        <v>#NAME?</v>
      </c>
      <c r="H27" s="13" t="str">
        <f t="shared" ca="1" si="2"/>
        <v>2026-02-21</v>
      </c>
      <c r="I27" s="8" t="e">
        <f t="array" aca="1" ref="I27" ca="1">IF(ISBLANK(K27)," ",_xlfn.XLOOKUP(D27,#REF!,#REF!))</f>
        <v>#NAME?</v>
      </c>
      <c r="J27" s="8" t="e">
        <f t="array" aca="1" ref="J27" ca="1">IF(ISBLANK(N27)," ",_xlfn.XLOOKUP(F27,Edades!$A$2:$A$101,IF(I27="F",Edades!$B$2:$B$101,Edades!$C$2:$C$101)))</f>
        <v>#NAME?</v>
      </c>
      <c r="K27" s="8" t="str">
        <f ca="1">IFERROR(__xludf.DUMMYFUNCTION("index(query(importjson(E27)),2,)"),"106984")</f>
        <v>106984</v>
      </c>
      <c r="L27" s="8" t="str">
        <f ca="1">IFERROR(__xludf.DUMMYFUNCTION("""COMPUTED_VALUE"""),"2025")</f>
        <v>2025</v>
      </c>
      <c r="M27" s="13" t="str">
        <f ca="1">IFERROR(__xludf.DUMMYFUNCTION("""COMPUTED_VALUE"""),"31719")</f>
        <v>31719</v>
      </c>
      <c r="N27" s="8" t="str">
        <f ca="1">IFERROR(__xludf.DUMMYFUNCTION("""COMPUTED_VALUE"""),"ISU Speed Skating Junior World Cup #3")</f>
        <v>ISU Speed Skating Junior World Cup #3</v>
      </c>
      <c r="O27" s="8" t="str">
        <f ca="1">IFERROR(__xludf.DUMMYFUNCTION("""COMPUTED_VALUE"""),"2026-02-21")</f>
        <v>2026-02-21</v>
      </c>
      <c r="P27" s="8" t="str">
        <f ca="1">IFERROR(__xludf.DUMMYFUNCTION("""COMPUTED_VALUE"""),"2026-02-22")</f>
        <v>2026-02-22</v>
      </c>
      <c r="Q27" s="8" t="str">
        <f ca="1">IFERROR(__xludf.DUMMYFUNCTION("""COMPUTED_VALUE"""),"Inzell (GER)")</f>
        <v>Inzell (GER)</v>
      </c>
      <c r="R27" s="8" t="str">
        <f ca="1">IFERROR(__xludf.DUMMYFUNCTION("""COMPUTED_VALUE"""),"11")</f>
        <v>11</v>
      </c>
      <c r="S27" s="18" t="str">
        <f ca="1">IFERROR(__xludf.DUMMYFUNCTION("""COMPUTED_VALUE"""),"http://speedskatingresults.com/index.php?p=2&amp;e=31719&amp;s=106984")</f>
        <v>http://speedskatingresults.com/index.php?p=2&amp;e=31719&amp;s=106984</v>
      </c>
      <c r="T27" s="7"/>
      <c r="U27" s="7"/>
      <c r="V27" s="7"/>
      <c r="W27" s="7"/>
      <c r="X27" s="7"/>
      <c r="Y27" s="7"/>
      <c r="Z27" s="7"/>
      <c r="AA27" s="7"/>
    </row>
    <row r="28" spans="1:27">
      <c r="A28" s="7"/>
      <c r="B28" s="7"/>
      <c r="C28" s="2" t="e">
        <f>#REF!</f>
        <v>#REF!</v>
      </c>
      <c r="D28" s="1" t="e">
        <f>#REF!</f>
        <v>#REF!</v>
      </c>
      <c r="E28" s="15" t="e">
        <f t="shared" si="0"/>
        <v>#REF!</v>
      </c>
      <c r="F28" s="8" t="str">
        <f t="shared" si="1"/>
        <v xml:space="preserve"> </v>
      </c>
      <c r="G28" s="12" t="str">
        <f t="array" ref="G28">IF(ISBLANK(N28)," ",_xlfn.XLOOKUP(D28,#REF!,#REF!))</f>
        <v xml:space="preserve"> </v>
      </c>
      <c r="H28" s="13">
        <f t="shared" si="2"/>
        <v>0</v>
      </c>
      <c r="I28" s="8" t="str">
        <f t="array" ref="I28">IF(ISBLANK(K28)," ",_xlfn.XLOOKUP(D28,#REF!,#REF!))</f>
        <v xml:space="preserve"> </v>
      </c>
      <c r="J28" s="8" t="str">
        <f t="array" ref="J28">IF(ISBLANK(N28)," ",_xlfn.XLOOKUP(F28,Edades!$A$2:$A$101,IF(I28="F",Edades!$B$2:$B$101,Edades!$C$2:$C$101)))</f>
        <v xml:space="preserve"> </v>
      </c>
      <c r="K28" s="8"/>
      <c r="L28" s="8"/>
      <c r="M28" s="13"/>
      <c r="N28" s="8"/>
      <c r="O28" s="8"/>
      <c r="P28" s="8"/>
      <c r="Q28" s="8"/>
      <c r="R28" s="8"/>
      <c r="S28" s="8"/>
      <c r="T28" s="7"/>
      <c r="U28" s="7"/>
      <c r="V28" s="7"/>
      <c r="W28" s="7"/>
      <c r="X28" s="7"/>
      <c r="Y28" s="7"/>
      <c r="Z28" s="7"/>
      <c r="AA28" s="7"/>
    </row>
    <row r="29" spans="1:27">
      <c r="A29" s="7"/>
      <c r="B29" s="7"/>
      <c r="C29" s="2" t="e">
        <f>#REF!</f>
        <v>#REF!</v>
      </c>
      <c r="D29" s="1" t="e">
        <f>#REF!</f>
        <v>#REF!</v>
      </c>
      <c r="E29" s="15" t="e">
        <f t="shared" si="0"/>
        <v>#REF!</v>
      </c>
      <c r="F29" s="8" t="e">
        <f t="shared" ca="1" si="1"/>
        <v>#NAME?</v>
      </c>
      <c r="G29" s="12" t="e">
        <f t="array" aca="1" ref="G29" ca="1">IF(ISBLANK(N29)," ",_xlfn.XLOOKUP(D29,#REF!,#REF!))</f>
        <v>#NAME?</v>
      </c>
      <c r="H29" s="13" t="str">
        <f t="shared" ca="1" si="2"/>
        <v>2025-10-24</v>
      </c>
      <c r="I29" s="8" t="e">
        <f t="array" aca="1" ref="I29" ca="1">IF(ISBLANK(K29)," ",_xlfn.XLOOKUP(D29,#REF!,#REF!))</f>
        <v>#NAME?</v>
      </c>
      <c r="J29" s="8" t="e">
        <f t="array" aca="1" ref="J29" ca="1">IF(ISBLANK(N29)," ",_xlfn.XLOOKUP(F29,Edades!$A$2:$A$101,IF(I29="F",Edades!$B$2:$B$101,Edades!$C$2:$C$101)))</f>
        <v>#NAME?</v>
      </c>
      <c r="K29" s="8" t="str">
        <f ca="1">IFERROR(__xludf.DUMMYFUNCTION("index(query(importjson(E29)),2,)"),"114229")</f>
        <v>114229</v>
      </c>
      <c r="L29" s="8" t="str">
        <f ca="1">IFERROR(__xludf.DUMMYFUNCTION("""COMPUTED_VALUE"""),"2025")</f>
        <v>2025</v>
      </c>
      <c r="M29" s="13" t="str">
        <f ca="1">IFERROR(__xludf.DUMMYFUNCTION("""COMPUTED_VALUE"""),"30591")</f>
        <v>30591</v>
      </c>
      <c r="N29" s="8" t="str">
        <f ca="1">IFERROR(__xludf.DUMMYFUNCTION("""COMPUTED_VALUE"""),"International Race")</f>
        <v>International Race</v>
      </c>
      <c r="O29" s="8" t="str">
        <f ca="1">IFERROR(__xludf.DUMMYFUNCTION("""COMPUTED_VALUE"""),"2025-10-24")</f>
        <v>2025-10-24</v>
      </c>
      <c r="P29" s="8" t="str">
        <f ca="1">IFERROR(__xludf.DUMMYFUNCTION("""COMPUTED_VALUE"""),"2025-10-26")</f>
        <v>2025-10-26</v>
      </c>
      <c r="Q29" s="8" t="str">
        <f ca="1">IFERROR(__xludf.DUMMYFUNCTION("""COMPUTED_VALUE"""),"Inzell (GER)")</f>
        <v>Inzell (GER)</v>
      </c>
      <c r="R29" s="8" t="str">
        <f ca="1">IFERROR(__xludf.DUMMYFUNCTION("""COMPUTED_VALUE"""),"11")</f>
        <v>11</v>
      </c>
      <c r="S29" s="18" t="str">
        <f ca="1">IFERROR(__xludf.DUMMYFUNCTION("""COMPUTED_VALUE"""),"http://speedskatingresults.com/index.php?p=2&amp;e=30591&amp;s=114229")</f>
        <v>http://speedskatingresults.com/index.php?p=2&amp;e=30591&amp;s=114229</v>
      </c>
      <c r="T29" s="7"/>
      <c r="U29" s="7"/>
      <c r="V29" s="7"/>
      <c r="W29" s="7"/>
      <c r="X29" s="7"/>
      <c r="Y29" s="7"/>
      <c r="Z29" s="7"/>
      <c r="AA29" s="7"/>
    </row>
    <row r="30" spans="1:27">
      <c r="A30" s="7"/>
      <c r="B30" s="7"/>
      <c r="C30" s="2" t="e">
        <f>#REF!</f>
        <v>#REF!</v>
      </c>
      <c r="D30" s="1" t="e">
        <f>#REF!</f>
        <v>#REF!</v>
      </c>
      <c r="E30" s="15" t="e">
        <f t="shared" si="0"/>
        <v>#REF!</v>
      </c>
      <c r="F30" s="8" t="str">
        <f t="shared" si="1"/>
        <v xml:space="preserve"> </v>
      </c>
      <c r="G30" s="12" t="str">
        <f t="array" ref="G30">IF(ISBLANK(N30)," ",_xlfn.XLOOKUP(D30,#REF!,#REF!))</f>
        <v xml:space="preserve"> </v>
      </c>
      <c r="H30" s="13">
        <f t="shared" si="2"/>
        <v>0</v>
      </c>
      <c r="I30" s="8" t="str">
        <f t="array" ref="I30">IF(ISBLANK(K30)," ",_xlfn.XLOOKUP(D30,#REF!,#REF!))</f>
        <v xml:space="preserve"> </v>
      </c>
      <c r="J30" s="8" t="str">
        <f t="array" ref="J30">IF(ISBLANK(N30)," ",_xlfn.XLOOKUP(F30,Edades!$A$2:$A$101,IF(I30="F",Edades!$B$2:$B$101,Edades!$C$2:$C$101)))</f>
        <v xml:space="preserve"> </v>
      </c>
      <c r="K30" s="8"/>
      <c r="L30" s="8"/>
      <c r="M30" s="13"/>
      <c r="N30" s="8"/>
      <c r="O30" s="8"/>
      <c r="P30" s="8"/>
      <c r="Q30" s="8"/>
      <c r="R30" s="8"/>
      <c r="S30" s="8"/>
      <c r="T30" s="7"/>
      <c r="U30" s="7"/>
      <c r="V30" s="7"/>
      <c r="W30" s="7"/>
      <c r="X30" s="7"/>
      <c r="Y30" s="7"/>
      <c r="Z30" s="7"/>
      <c r="AA30" s="7"/>
    </row>
    <row r="31" spans="1:27">
      <c r="A31" s="7"/>
      <c r="B31" s="7"/>
      <c r="C31" s="2" t="e">
        <f>#REF!</f>
        <v>#REF!</v>
      </c>
      <c r="D31" s="1" t="e">
        <f>#REF!</f>
        <v>#REF!</v>
      </c>
      <c r="E31" s="15" t="e">
        <f t="shared" si="0"/>
        <v>#REF!</v>
      </c>
      <c r="F31" s="8" t="e">
        <f t="shared" ca="1" si="1"/>
        <v>#NAME?</v>
      </c>
      <c r="G31" s="12" t="e">
        <f t="array" aca="1" ref="G31" ca="1">IF(ISBLANK(N31)," ",_xlfn.XLOOKUP(D31,#REF!,#REF!))</f>
        <v>#NAME?</v>
      </c>
      <c r="H31" s="13" t="str">
        <f t="shared" ca="1" si="2"/>
        <v>2025-10-24</v>
      </c>
      <c r="I31" s="8" t="e">
        <f t="array" aca="1" ref="I31" ca="1">IF(ISBLANK(K31)," ",_xlfn.XLOOKUP(D31,#REF!,#REF!))</f>
        <v>#NAME?</v>
      </c>
      <c r="J31" s="8" t="e">
        <f t="array" aca="1" ref="J31" ca="1">IF(ISBLANK(N31)," ",_xlfn.XLOOKUP(F31,Edades!$A$2:$A$101,IF(I31="F",Edades!$B$2:$B$101,Edades!$C$2:$C$101)))</f>
        <v>#NAME?</v>
      </c>
      <c r="K31" s="8" t="str">
        <f ca="1">IFERROR(__xludf.DUMMYFUNCTION("index(query(importjson(E31)),2,)"),"99863")</f>
        <v>99863</v>
      </c>
      <c r="L31" s="8" t="str">
        <f ca="1">IFERROR(__xludf.DUMMYFUNCTION("""COMPUTED_VALUE"""),"2025")</f>
        <v>2025</v>
      </c>
      <c r="M31" s="13" t="str">
        <f ca="1">IFERROR(__xludf.DUMMYFUNCTION("""COMPUTED_VALUE"""),"30591")</f>
        <v>30591</v>
      </c>
      <c r="N31" s="8" t="str">
        <f ca="1">IFERROR(__xludf.DUMMYFUNCTION("""COMPUTED_VALUE"""),"International Race")</f>
        <v>International Race</v>
      </c>
      <c r="O31" s="8" t="str">
        <f ca="1">IFERROR(__xludf.DUMMYFUNCTION("""COMPUTED_VALUE"""),"2025-10-24")</f>
        <v>2025-10-24</v>
      </c>
      <c r="P31" s="8" t="str">
        <f ca="1">IFERROR(__xludf.DUMMYFUNCTION("""COMPUTED_VALUE"""),"2025-10-26")</f>
        <v>2025-10-26</v>
      </c>
      <c r="Q31" s="8" t="str">
        <f ca="1">IFERROR(__xludf.DUMMYFUNCTION("""COMPUTED_VALUE"""),"Inzell (GER)")</f>
        <v>Inzell (GER)</v>
      </c>
      <c r="R31" s="8" t="str">
        <f ca="1">IFERROR(__xludf.DUMMYFUNCTION("""COMPUTED_VALUE"""),"11")</f>
        <v>11</v>
      </c>
      <c r="S31" s="18" t="str">
        <f ca="1">IFERROR(__xludf.DUMMYFUNCTION("""COMPUTED_VALUE"""),"http://speedskatingresults.com/index.php?p=2&amp;e=30591&amp;s=99863")</f>
        <v>http://speedskatingresults.com/index.php?p=2&amp;e=30591&amp;s=99863</v>
      </c>
      <c r="T31" s="7"/>
      <c r="U31" s="7"/>
      <c r="V31" s="7"/>
      <c r="W31" s="7"/>
      <c r="X31" s="7"/>
      <c r="Y31" s="7"/>
      <c r="Z31" s="7"/>
      <c r="AA31" s="7"/>
    </row>
    <row r="32" spans="1:27">
      <c r="A32" s="7"/>
      <c r="B32" s="7"/>
      <c r="C32" s="2" t="e">
        <f>#REF!</f>
        <v>#REF!</v>
      </c>
      <c r="D32" s="1" t="e">
        <f>#REF!</f>
        <v>#REF!</v>
      </c>
      <c r="E32" s="15" t="e">
        <f t="shared" si="0"/>
        <v>#REF!</v>
      </c>
      <c r="F32" s="8" t="str">
        <f t="shared" si="1"/>
        <v xml:space="preserve"> </v>
      </c>
      <c r="G32" s="12" t="str">
        <f t="array" ref="G32">IF(ISBLANK(N32)," ",_xlfn.XLOOKUP(D32,#REF!,#REF!))</f>
        <v xml:space="preserve"> </v>
      </c>
      <c r="H32" s="13">
        <f t="shared" si="2"/>
        <v>0</v>
      </c>
      <c r="I32" s="8" t="str">
        <f t="array" ref="I32">IF(ISBLANK(K32)," ",_xlfn.XLOOKUP(D32,#REF!,#REF!))</f>
        <v xml:space="preserve"> </v>
      </c>
      <c r="J32" s="8" t="str">
        <f t="array" ref="J32">IF(ISBLANK(N32)," ",_xlfn.XLOOKUP(F32,Edades!$A$2:$A$101,IF(I32="F",Edades!$B$2:$B$101,Edades!$C$2:$C$101)))</f>
        <v xml:space="preserve"> </v>
      </c>
      <c r="K32" s="8"/>
      <c r="L32" s="8"/>
      <c r="M32" s="13"/>
      <c r="N32" s="8"/>
      <c r="O32" s="8"/>
      <c r="P32" s="8"/>
      <c r="Q32" s="8"/>
      <c r="R32" s="8"/>
      <c r="S32" s="8"/>
      <c r="T32" s="7"/>
      <c r="U32" s="7"/>
      <c r="V32" s="7"/>
      <c r="W32" s="7"/>
      <c r="X32" s="7"/>
      <c r="Y32" s="7"/>
      <c r="Z32" s="7"/>
      <c r="AA32" s="7"/>
    </row>
    <row r="33" spans="1:27">
      <c r="A33" s="7"/>
      <c r="B33" s="7"/>
      <c r="C33" s="2" t="e">
        <f>#REF!</f>
        <v>#REF!</v>
      </c>
      <c r="D33" s="1" t="e">
        <f>#REF!</f>
        <v>#REF!</v>
      </c>
      <c r="E33" s="15" t="e">
        <f t="shared" si="0"/>
        <v>#REF!</v>
      </c>
      <c r="F33" s="8" t="str">
        <f t="shared" si="1"/>
        <v xml:space="preserve"> </v>
      </c>
      <c r="G33" s="12" t="str">
        <f t="array" ref="G33">IF(ISBLANK(N33)," ",_xlfn.XLOOKUP(D33,#REF!,#REF!))</f>
        <v xml:space="preserve"> </v>
      </c>
      <c r="H33" s="13">
        <f t="shared" si="2"/>
        <v>0</v>
      </c>
      <c r="I33" s="8" t="str">
        <f t="array" ref="I33">IF(ISBLANK(K33)," ",_xlfn.XLOOKUP(D33,#REF!,#REF!))</f>
        <v xml:space="preserve"> </v>
      </c>
      <c r="J33" s="8" t="str">
        <f t="array" ref="J33">IF(ISBLANK(N33)," ",_xlfn.XLOOKUP(F33,Edades!$A$2:$A$101,IF(I33="F",Edades!$B$2:$B$101,Edades!$C$2:$C$101)))</f>
        <v xml:space="preserve"> </v>
      </c>
      <c r="K33" s="8"/>
      <c r="L33" s="8"/>
      <c r="M33" s="13"/>
      <c r="N33" s="8"/>
      <c r="O33" s="8"/>
      <c r="P33" s="8"/>
      <c r="Q33" s="8"/>
      <c r="R33" s="8"/>
      <c r="S33" s="8"/>
      <c r="T33" s="7"/>
      <c r="U33" s="7"/>
      <c r="V33" s="7"/>
      <c r="W33" s="7"/>
      <c r="X33" s="7"/>
      <c r="Y33" s="7"/>
      <c r="Z33" s="7"/>
      <c r="AA33" s="7"/>
    </row>
    <row r="34" spans="1:27">
      <c r="A34" s="7"/>
      <c r="B34" s="7"/>
      <c r="C34" s="2" t="e">
        <f>#REF!</f>
        <v>#REF!</v>
      </c>
      <c r="D34" s="1" t="e">
        <f>#REF!</f>
        <v>#REF!</v>
      </c>
      <c r="E34" s="15" t="e">
        <f t="shared" si="0"/>
        <v>#REF!</v>
      </c>
      <c r="F34" s="8" t="str">
        <f t="shared" si="1"/>
        <v xml:space="preserve"> </v>
      </c>
      <c r="G34" s="12" t="str">
        <f t="array" ref="G34">IF(ISBLANK(N34)," ",_xlfn.XLOOKUP(D34,#REF!,#REF!))</f>
        <v xml:space="preserve"> </v>
      </c>
      <c r="H34" s="13">
        <f t="shared" si="2"/>
        <v>0</v>
      </c>
      <c r="I34" s="8" t="str">
        <f t="array" ref="I34">IF(ISBLANK(K34)," ",_xlfn.XLOOKUP(D34,#REF!,#REF!))</f>
        <v xml:space="preserve"> </v>
      </c>
      <c r="J34" s="8" t="str">
        <f t="array" ref="J34">IF(ISBLANK(N34)," ",_xlfn.XLOOKUP(F34,Edades!$A$2:$A$101,IF(I34="F",Edades!$B$2:$B$101,Edades!$C$2:$C$101)))</f>
        <v xml:space="preserve"> </v>
      </c>
      <c r="K34" s="8"/>
      <c r="L34" s="8"/>
      <c r="M34" s="13"/>
      <c r="N34" s="8"/>
      <c r="O34" s="8"/>
      <c r="P34" s="8"/>
      <c r="Q34" s="8"/>
      <c r="R34" s="8"/>
      <c r="S34" s="8"/>
      <c r="T34" s="7"/>
      <c r="U34" s="7"/>
      <c r="V34" s="7"/>
      <c r="W34" s="7"/>
      <c r="X34" s="7"/>
      <c r="Y34" s="7"/>
      <c r="Z34" s="7"/>
      <c r="AA34" s="7"/>
    </row>
    <row r="35" spans="1:27">
      <c r="A35" s="7"/>
      <c r="B35" s="16"/>
      <c r="C35" s="2" t="e">
        <f>#REF!</f>
        <v>#REF!</v>
      </c>
      <c r="D35" s="1" t="e">
        <f>#REF!</f>
        <v>#REF!</v>
      </c>
      <c r="E35" s="15" t="e">
        <f t="shared" si="0"/>
        <v>#REF!</v>
      </c>
      <c r="F35" s="8" t="e">
        <f t="shared" ca="1" si="1"/>
        <v>#NAME?</v>
      </c>
      <c r="G35" s="12" t="e">
        <f t="array" aca="1" ref="G35" ca="1">IF(ISBLANK(N35)," ",_xlfn.XLOOKUP(D35,#REF!,#REF!))</f>
        <v>#NAME?</v>
      </c>
      <c r="H35" s="13" t="str">
        <f t="shared" ca="1" si="2"/>
        <v>2026-03-15</v>
      </c>
      <c r="I35" s="8" t="e">
        <f t="array" aca="1" ref="I35" ca="1">IF(ISBLANK(K35)," ",_xlfn.XLOOKUP(D35,#REF!,#REF!))</f>
        <v>#NAME?</v>
      </c>
      <c r="J35" s="8" t="e">
        <f t="array" aca="1" ref="J35" ca="1">IF(ISBLANK(N35)," ",_xlfn.XLOOKUP(F35,Edades!$A$2:$A$101,IF(I35="F",Edades!$B$2:$B$101,Edades!$C$2:$C$101)))</f>
        <v>#NAME?</v>
      </c>
      <c r="K35" s="8" t="str">
        <f ca="1">IFERROR(__xludf.DUMMYFUNCTION("index(query(importjson(E35)),2,)"),"114228")</f>
        <v>114228</v>
      </c>
      <c r="L35" s="8" t="str">
        <f ca="1">IFERROR(__xludf.DUMMYFUNCTION("""COMPUTED_VALUE"""),"2025")</f>
        <v>2025</v>
      </c>
      <c r="M35" s="13" t="str">
        <f ca="1">IFERROR(__xludf.DUMMYFUNCTION("""COMPUTED_VALUE"""),"32048")</f>
        <v>32048</v>
      </c>
      <c r="N35" s="8" t="str">
        <f ca="1">IFERROR(__xludf.DUMMYFUNCTION("""COMPUTED_VALUE"""),"Olympic Oval Finale - Team Sprint")</f>
        <v>Olympic Oval Finale - Team Sprint</v>
      </c>
      <c r="O35" s="8" t="str">
        <f ca="1">IFERROR(__xludf.DUMMYFUNCTION("""COMPUTED_VALUE"""),"2026-03-15")</f>
        <v>2026-03-15</v>
      </c>
      <c r="P35" s="8" t="str">
        <f ca="1">IFERROR(__xludf.DUMMYFUNCTION("""COMPUTED_VALUE"""),"2026-03-15")</f>
        <v>2026-03-15</v>
      </c>
      <c r="Q35" s="8" t="str">
        <f ca="1">IFERROR(__xludf.DUMMYFUNCTION("""COMPUTED_VALUE"""),"Calgary (CAN)")</f>
        <v>Calgary (CAN)</v>
      </c>
      <c r="R35" s="8" t="str">
        <f ca="1">IFERROR(__xludf.DUMMYFUNCTION("""COMPUTED_VALUE"""),"5")</f>
        <v>5</v>
      </c>
      <c r="S35" s="18" t="str">
        <f ca="1">IFERROR(__xludf.DUMMYFUNCTION("""COMPUTED_VALUE"""),"http://speedskatingresults.com/index.php?p=2&amp;e=32048&amp;s=114228")</f>
        <v>http://speedskatingresults.com/index.php?p=2&amp;e=32048&amp;s=114228</v>
      </c>
      <c r="T35" s="7"/>
      <c r="U35" s="7"/>
      <c r="V35" s="7"/>
      <c r="W35" s="7"/>
      <c r="X35" s="7"/>
      <c r="Y35" s="7"/>
      <c r="Z35" s="7"/>
      <c r="AA35" s="7"/>
    </row>
    <row r="36" spans="1:27">
      <c r="A36" s="7"/>
      <c r="B36" s="7"/>
      <c r="C36" s="2" t="e">
        <f>#REF!</f>
        <v>#REF!</v>
      </c>
      <c r="D36" s="1" t="e">
        <f>#REF!</f>
        <v>#REF!</v>
      </c>
      <c r="E36" s="15" t="e">
        <f t="shared" si="0"/>
        <v>#REF!</v>
      </c>
      <c r="F36" s="8" t="e">
        <f t="shared" ca="1" si="1"/>
        <v>#NAME?</v>
      </c>
      <c r="G36" s="12" t="e">
        <f t="array" aca="1" ref="G36" ca="1">IF(ISBLANK(N36)," ",_xlfn.XLOOKUP(D36,#REF!,#REF!))</f>
        <v>#NAME?</v>
      </c>
      <c r="H36" s="13" t="str">
        <f t="shared" ca="1" si="2"/>
        <v>2026-01-09</v>
      </c>
      <c r="I36" s="8" t="e">
        <f t="array" aca="1" ref="I36" ca="1">IF(ISBLANK(K36)," ",_xlfn.XLOOKUP(D36,#REF!,#REF!))</f>
        <v>#NAME?</v>
      </c>
      <c r="J36" s="8" t="e">
        <f t="array" aca="1" ref="J36" ca="1">IF(ISBLANK(N36)," ",_xlfn.XLOOKUP(F36,Edades!$A$2:$A$101,IF(I36="F",Edades!$B$2:$B$101,Edades!$C$2:$C$101)))</f>
        <v>#NAME?</v>
      </c>
      <c r="K36" s="8" t="str">
        <f ca="1">IFERROR(__xludf.DUMMYFUNCTION("index(query(importjson(E36)),2,)"),"64097")</f>
        <v>64097</v>
      </c>
      <c r="L36" s="8" t="str">
        <f ca="1">IFERROR(__xludf.DUMMYFUNCTION("""COMPUTED_VALUE"""),"2025")</f>
        <v>2025</v>
      </c>
      <c r="M36" s="13" t="str">
        <f ca="1">IFERROR(__xludf.DUMMYFUNCTION("""COMPUTED_VALUE"""),"31248")</f>
        <v>31248</v>
      </c>
      <c r="N36" s="8" t="str">
        <f ca="1">IFERROR(__xludf.DUMMYFUNCTION("""COMPUTED_VALUE"""),"ISU European Speed Skating Championships 2026")</f>
        <v>ISU European Speed Skating Championships 2026</v>
      </c>
      <c r="O36" s="8" t="str">
        <f ca="1">IFERROR(__xludf.DUMMYFUNCTION("""COMPUTED_VALUE"""),"2026-01-09")</f>
        <v>2026-01-09</v>
      </c>
      <c r="P36" s="8" t="str">
        <f ca="1">IFERROR(__xludf.DUMMYFUNCTION("""COMPUTED_VALUE"""),"2026-01-11")</f>
        <v>2026-01-11</v>
      </c>
      <c r="Q36" s="8" t="str">
        <f ca="1">IFERROR(__xludf.DUMMYFUNCTION("""COMPUTED_VALUE"""),"Tomaszów-Mazowiecki (POL)")</f>
        <v>Tomaszów-Mazowiecki (POL)</v>
      </c>
      <c r="R36" s="8" t="str">
        <f ca="1">IFERROR(__xludf.DUMMYFUNCTION("""COMPUTED_VALUE"""),"58")</f>
        <v>58</v>
      </c>
      <c r="S36" s="18" t="str">
        <f ca="1">IFERROR(__xludf.DUMMYFUNCTION("""COMPUTED_VALUE"""),"http://speedskatingresults.com/index.php?p=2&amp;e=31248&amp;s=64097")</f>
        <v>http://speedskatingresults.com/index.php?p=2&amp;e=31248&amp;s=64097</v>
      </c>
      <c r="T36" s="7"/>
      <c r="U36" s="7"/>
      <c r="V36" s="7"/>
      <c r="W36" s="7"/>
      <c r="X36" s="7"/>
      <c r="Y36" s="7"/>
      <c r="Z36" s="7"/>
      <c r="AA36" s="7"/>
    </row>
    <row r="37" spans="1:27">
      <c r="A37" s="7"/>
      <c r="B37" s="7"/>
      <c r="C37" s="2" t="e">
        <f>#REF!</f>
        <v>#REF!</v>
      </c>
      <c r="D37" s="1" t="e">
        <f>#REF!</f>
        <v>#REF!</v>
      </c>
      <c r="E37" s="15" t="e">
        <f t="shared" si="0"/>
        <v>#REF!</v>
      </c>
      <c r="F37" s="8" t="str">
        <f t="shared" si="1"/>
        <v xml:space="preserve"> </v>
      </c>
      <c r="G37" s="12" t="str">
        <f t="array" ref="G37">IF(ISBLANK(N37)," ",_xlfn.XLOOKUP(D37,#REF!,#REF!))</f>
        <v xml:space="preserve"> </v>
      </c>
      <c r="H37" s="13">
        <f t="shared" si="2"/>
        <v>0</v>
      </c>
      <c r="I37" s="8" t="str">
        <f t="array" ref="I37">IF(ISBLANK(K37)," ",_xlfn.XLOOKUP(D37,#REF!,#REF!))</f>
        <v xml:space="preserve"> </v>
      </c>
      <c r="J37" s="8" t="str">
        <f t="array" ref="J37">IF(ISBLANK(N37)," ",_xlfn.XLOOKUP(F37,Edades!$A$2:$A$101,IF(I37="F",Edades!$B$2:$B$101,Edades!$C$2:$C$101)))</f>
        <v xml:space="preserve"> </v>
      </c>
      <c r="K37" s="8"/>
      <c r="L37" s="8"/>
      <c r="M37" s="13"/>
      <c r="N37" s="8"/>
      <c r="O37" s="8"/>
      <c r="P37" s="8"/>
      <c r="Q37" s="8"/>
      <c r="R37" s="8"/>
      <c r="S37" s="8"/>
      <c r="T37" s="7"/>
      <c r="U37" s="7"/>
      <c r="V37" s="7"/>
      <c r="W37" s="7"/>
      <c r="X37" s="7"/>
      <c r="Y37" s="7"/>
      <c r="Z37" s="7"/>
      <c r="AA37" s="7"/>
    </row>
    <row r="38" spans="1:27">
      <c r="A38" s="7"/>
      <c r="B38" s="7"/>
      <c r="C38" s="2" t="e">
        <f>#REF!</f>
        <v>#REF!</v>
      </c>
      <c r="D38" s="1" t="e">
        <f>#REF!</f>
        <v>#REF!</v>
      </c>
      <c r="E38" s="15" t="e">
        <f t="shared" si="0"/>
        <v>#REF!</v>
      </c>
      <c r="F38" s="8" t="str">
        <f t="shared" si="1"/>
        <v xml:space="preserve"> </v>
      </c>
      <c r="G38" s="12" t="str">
        <f t="array" ref="G38">IF(ISBLANK(N38)," ",_xlfn.XLOOKUP(D38,#REF!,#REF!))</f>
        <v xml:space="preserve"> </v>
      </c>
      <c r="H38" s="13">
        <f t="shared" si="2"/>
        <v>0</v>
      </c>
      <c r="I38" s="8" t="str">
        <f t="array" ref="I38">IF(ISBLANK(K38)," ",_xlfn.XLOOKUP(D38,#REF!,#REF!))</f>
        <v xml:space="preserve"> </v>
      </c>
      <c r="J38" s="8" t="str">
        <f t="array" ref="J38">IF(ISBLANK(N38)," ",_xlfn.XLOOKUP(F38,Edades!$A$2:$A$101,IF(I38="F",Edades!$B$2:$B$101,Edades!$C$2:$C$101)))</f>
        <v xml:space="preserve"> </v>
      </c>
      <c r="K38" s="8"/>
      <c r="L38" s="8"/>
      <c r="M38" s="13"/>
      <c r="N38" s="8"/>
      <c r="O38" s="8"/>
      <c r="P38" s="8"/>
      <c r="Q38" s="8"/>
      <c r="R38" s="8"/>
      <c r="S38" s="8"/>
      <c r="T38" s="7"/>
      <c r="U38" s="7"/>
      <c r="V38" s="7"/>
      <c r="W38" s="7"/>
      <c r="X38" s="7"/>
      <c r="Y38" s="7"/>
      <c r="Z38" s="7"/>
      <c r="AA38" s="7"/>
    </row>
    <row r="39" spans="1:27">
      <c r="A39" s="7"/>
      <c r="B39" s="7"/>
      <c r="C39" s="2" t="e">
        <f>#REF!</f>
        <v>#REF!</v>
      </c>
      <c r="D39" s="1" t="e">
        <f>#REF!</f>
        <v>#REF!</v>
      </c>
      <c r="E39" s="15" t="e">
        <f t="shared" si="0"/>
        <v>#REF!</v>
      </c>
      <c r="F39" s="8" t="str">
        <f t="shared" si="1"/>
        <v xml:space="preserve"> </v>
      </c>
      <c r="G39" s="12" t="str">
        <f t="array" ref="G39">IF(ISBLANK(N39)," ",_xlfn.XLOOKUP(D39,#REF!,#REF!))</f>
        <v xml:space="preserve"> </v>
      </c>
      <c r="H39" s="13">
        <f t="shared" si="2"/>
        <v>0</v>
      </c>
      <c r="I39" s="8" t="str">
        <f t="array" ref="I39">IF(ISBLANK(K39)," ",_xlfn.XLOOKUP(D39,#REF!,#REF!))</f>
        <v xml:space="preserve"> </v>
      </c>
      <c r="J39" s="8" t="str">
        <f t="array" ref="J39">IF(ISBLANK(N39)," ",_xlfn.XLOOKUP(F39,Edades!$A$2:$A$101,IF(I39="F",Edades!$B$2:$B$101,Edades!$C$2:$C$101)))</f>
        <v xml:space="preserve"> </v>
      </c>
      <c r="K39" s="8"/>
      <c r="L39" s="8"/>
      <c r="M39" s="13"/>
      <c r="N39" s="8"/>
      <c r="O39" s="8"/>
      <c r="P39" s="8"/>
      <c r="Q39" s="8"/>
      <c r="R39" s="8"/>
      <c r="S39" s="8"/>
      <c r="T39" s="7"/>
      <c r="U39" s="7"/>
      <c r="V39" s="7"/>
      <c r="W39" s="7"/>
      <c r="X39" s="7"/>
      <c r="Y39" s="7"/>
      <c r="Z39" s="7"/>
      <c r="AA39" s="7"/>
    </row>
    <row r="40" spans="1:27">
      <c r="A40" s="7"/>
      <c r="B40" s="7"/>
      <c r="C40" s="2" t="e">
        <f>#REF!</f>
        <v>#REF!</v>
      </c>
      <c r="D40" s="1" t="e">
        <f>#REF!</f>
        <v>#REF!</v>
      </c>
      <c r="E40" s="15" t="e">
        <f t="shared" si="0"/>
        <v>#REF!</v>
      </c>
      <c r="F40" s="8" t="str">
        <f t="shared" si="1"/>
        <v xml:space="preserve"> </v>
      </c>
      <c r="G40" s="12" t="str">
        <f t="array" ref="G40">IF(ISBLANK(N40)," ",_xlfn.XLOOKUP(D40,#REF!,#REF!))</f>
        <v xml:space="preserve"> </v>
      </c>
      <c r="H40" s="13">
        <f t="shared" si="2"/>
        <v>0</v>
      </c>
      <c r="I40" s="8" t="str">
        <f t="array" ref="I40">IF(ISBLANK(K40)," ",_xlfn.XLOOKUP(D40,#REF!,#REF!))</f>
        <v xml:space="preserve"> </v>
      </c>
      <c r="J40" s="8" t="str">
        <f t="array" ref="J40">IF(ISBLANK(N40)," ",_xlfn.XLOOKUP(F40,Edades!$A$2:$A$101,IF(I40="F",Edades!$B$2:$B$101,Edades!$C$2:$C$101)))</f>
        <v xml:space="preserve"> </v>
      </c>
      <c r="K40" s="8"/>
      <c r="L40" s="8"/>
      <c r="M40" s="13"/>
      <c r="N40" s="8"/>
      <c r="O40" s="8"/>
      <c r="P40" s="8"/>
      <c r="Q40" s="8"/>
      <c r="R40" s="8"/>
      <c r="S40" s="8"/>
      <c r="T40" s="7"/>
      <c r="U40" s="7"/>
      <c r="V40" s="7"/>
      <c r="W40" s="7"/>
      <c r="X40" s="7"/>
      <c r="Y40" s="7"/>
      <c r="Z40" s="7"/>
      <c r="AA40" s="7"/>
    </row>
    <row r="41" spans="1:27">
      <c r="A41" s="7"/>
      <c r="B41" s="7"/>
      <c r="C41" s="2" t="e">
        <f>#REF!</f>
        <v>#REF!</v>
      </c>
      <c r="D41" s="1" t="e">
        <f>#REF!</f>
        <v>#REF!</v>
      </c>
      <c r="E41" s="15" t="e">
        <f t="shared" si="0"/>
        <v>#REF!</v>
      </c>
      <c r="F41" s="8" t="e">
        <f t="shared" ca="1" si="1"/>
        <v>#NAME?</v>
      </c>
      <c r="G41" s="12" t="e">
        <f t="array" aca="1" ref="G41" ca="1">IF(ISBLANK(N41)," ",_xlfn.XLOOKUP(D41,#REF!,#REF!))</f>
        <v>#NAME?</v>
      </c>
      <c r="H41" s="13" t="str">
        <f t="shared" ca="1" si="2"/>
        <v>2026-03-12</v>
      </c>
      <c r="I41" s="8" t="e">
        <f t="array" aca="1" ref="I41" ca="1">IF(ISBLANK(K41)," ",_xlfn.XLOOKUP(D41,#REF!,#REF!))</f>
        <v>#NAME?</v>
      </c>
      <c r="J41" s="8" t="e">
        <f t="array" aca="1" ref="J41" ca="1">IF(ISBLANK(N41)," ",_xlfn.XLOOKUP(F41,Edades!$A$2:$A$101,IF(I41="F",Edades!$B$2:$B$101,Edades!$C$2:$C$101)))</f>
        <v>#NAME?</v>
      </c>
      <c r="K41" s="8" t="str">
        <f ca="1">IFERROR(__xludf.DUMMYFUNCTION("index(query(importjson(E41)),2,)"),"106065")</f>
        <v>106065</v>
      </c>
      <c r="L41" s="8" t="str">
        <f ca="1">IFERROR(__xludf.DUMMYFUNCTION("""COMPUTED_VALUE"""),"2025")</f>
        <v>2025</v>
      </c>
      <c r="M41" s="13" t="str">
        <f ca="1">IFERROR(__xludf.DUMMYFUNCTION("""COMPUTED_VALUE"""),"31912")</f>
        <v>31912</v>
      </c>
      <c r="N41" s="8" t="str">
        <f ca="1">IFERROR(__xludf.DUMMYFUNCTION("""COMPUTED_VALUE"""),"2026 Olympic Oval Finale")</f>
        <v>2026 Olympic Oval Finale</v>
      </c>
      <c r="O41" s="8" t="str">
        <f ca="1">IFERROR(__xludf.DUMMYFUNCTION("""COMPUTED_VALUE"""),"2026-03-12")</f>
        <v>2026-03-12</v>
      </c>
      <c r="P41" s="8" t="str">
        <f ca="1">IFERROR(__xludf.DUMMYFUNCTION("""COMPUTED_VALUE"""),"2026-03-15")</f>
        <v>2026-03-15</v>
      </c>
      <c r="Q41" s="8" t="str">
        <f ca="1">IFERROR(__xludf.DUMMYFUNCTION("""COMPUTED_VALUE"""),"Calgary (CAN)")</f>
        <v>Calgary (CAN)</v>
      </c>
      <c r="R41" s="8" t="str">
        <f ca="1">IFERROR(__xludf.DUMMYFUNCTION("""COMPUTED_VALUE"""),"5")</f>
        <v>5</v>
      </c>
      <c r="S41" s="18" t="str">
        <f ca="1">IFERROR(__xludf.DUMMYFUNCTION("""COMPUTED_VALUE"""),"http://speedskatingresults.com/index.php?p=2&amp;e=31912&amp;s=106065")</f>
        <v>http://speedskatingresults.com/index.php?p=2&amp;e=31912&amp;s=106065</v>
      </c>
      <c r="T41" s="7"/>
      <c r="U41" s="7"/>
      <c r="V41" s="7"/>
      <c r="W41" s="7"/>
      <c r="X41" s="7"/>
      <c r="Y41" s="7"/>
      <c r="Z41" s="7"/>
      <c r="AA41" s="7"/>
    </row>
    <row r="42" spans="1:27">
      <c r="A42" s="7"/>
      <c r="B42" s="7"/>
      <c r="C42" s="2" t="e">
        <f>#REF!</f>
        <v>#REF!</v>
      </c>
      <c r="D42" s="1" t="e">
        <f>#REF!</f>
        <v>#REF!</v>
      </c>
      <c r="E42" s="15" t="e">
        <f t="shared" si="0"/>
        <v>#REF!</v>
      </c>
      <c r="F42" s="8" t="str">
        <f t="shared" si="1"/>
        <v xml:space="preserve"> </v>
      </c>
      <c r="G42" s="12" t="str">
        <f t="array" ref="G42">IF(ISBLANK(N42)," ",_xlfn.XLOOKUP(D42,#REF!,#REF!))</f>
        <v xml:space="preserve"> </v>
      </c>
      <c r="H42" s="13">
        <f t="shared" si="2"/>
        <v>0</v>
      </c>
      <c r="I42" s="8" t="str">
        <f t="array" ref="I42">IF(ISBLANK(K42)," ",_xlfn.XLOOKUP(D42,#REF!,#REF!))</f>
        <v xml:space="preserve"> </v>
      </c>
      <c r="J42" s="8" t="str">
        <f t="array" ref="J42">IF(ISBLANK(N42)," ",_xlfn.XLOOKUP(F42,Edades!$A$2:$A$101,IF(I42="F",Edades!$B$2:$B$101,Edades!$C$2:$C$101)))</f>
        <v xml:space="preserve"> </v>
      </c>
      <c r="K42" s="8"/>
      <c r="L42" s="8"/>
      <c r="M42" s="13"/>
      <c r="N42" s="8"/>
      <c r="O42" s="8"/>
      <c r="P42" s="8"/>
      <c r="Q42" s="8"/>
      <c r="R42" s="8"/>
      <c r="S42" s="8"/>
      <c r="T42" s="7"/>
      <c r="U42" s="7"/>
      <c r="V42" s="7"/>
      <c r="W42" s="7"/>
      <c r="X42" s="7"/>
      <c r="Y42" s="7"/>
      <c r="Z42" s="7"/>
      <c r="AA42" s="7"/>
    </row>
    <row r="43" spans="1:27">
      <c r="A43" s="7"/>
      <c r="B43" s="7"/>
      <c r="C43" s="2" t="e">
        <f>#REF!</f>
        <v>#REF!</v>
      </c>
      <c r="D43" s="1" t="e">
        <f>#REF!</f>
        <v>#REF!</v>
      </c>
      <c r="E43" s="15" t="e">
        <f t="shared" si="0"/>
        <v>#REF!</v>
      </c>
      <c r="F43" s="8" t="str">
        <f t="shared" si="1"/>
        <v xml:space="preserve"> </v>
      </c>
      <c r="G43" s="12" t="str">
        <f t="array" ref="G43">IF(ISBLANK(N43)," ",_xlfn.XLOOKUP(D43,#REF!,#REF!))</f>
        <v xml:space="preserve"> </v>
      </c>
      <c r="H43" s="13">
        <f t="shared" si="2"/>
        <v>0</v>
      </c>
      <c r="I43" s="8" t="str">
        <f t="array" ref="I43">IF(ISBLANK(K43)," ",_xlfn.XLOOKUP(D43,#REF!,#REF!))</f>
        <v xml:space="preserve"> </v>
      </c>
      <c r="J43" s="8" t="str">
        <f t="array" ref="J43">IF(ISBLANK(N43)," ",_xlfn.XLOOKUP(F43,Edades!$A$2:$A$101,IF(I43="F",Edades!$B$2:$B$101,Edades!$C$2:$C$101)))</f>
        <v xml:space="preserve"> </v>
      </c>
      <c r="K43" s="8"/>
      <c r="L43" s="8"/>
      <c r="M43" s="13"/>
      <c r="N43" s="8"/>
      <c r="O43" s="8"/>
      <c r="P43" s="8"/>
      <c r="Q43" s="8"/>
      <c r="R43" s="8"/>
      <c r="S43" s="8"/>
      <c r="T43" s="7"/>
      <c r="U43" s="7"/>
      <c r="V43" s="7"/>
      <c r="W43" s="7"/>
      <c r="X43" s="7"/>
      <c r="Y43" s="7"/>
      <c r="Z43" s="7"/>
      <c r="AA43" s="7"/>
    </row>
    <row r="44" spans="1:27">
      <c r="A44" s="7"/>
      <c r="B44" s="7"/>
      <c r="C44" s="2" t="e">
        <f>#REF!</f>
        <v>#REF!</v>
      </c>
      <c r="D44" s="1" t="e">
        <f>#REF!</f>
        <v>#REF!</v>
      </c>
      <c r="E44" s="15" t="e">
        <f t="shared" si="0"/>
        <v>#REF!</v>
      </c>
      <c r="F44" s="8" t="str">
        <f t="shared" si="1"/>
        <v xml:space="preserve"> </v>
      </c>
      <c r="G44" s="12" t="str">
        <f t="array" ref="G44">IF(ISBLANK(N44)," ",_xlfn.XLOOKUP(D44,#REF!,#REF!))</f>
        <v xml:space="preserve"> </v>
      </c>
      <c r="H44" s="13">
        <f t="shared" si="2"/>
        <v>0</v>
      </c>
      <c r="I44" s="8" t="str">
        <f t="array" ref="I44">IF(ISBLANK(K44)," ",_xlfn.XLOOKUP(D44,#REF!,#REF!))</f>
        <v xml:space="preserve"> </v>
      </c>
      <c r="J44" s="8" t="str">
        <f t="array" ref="J44">IF(ISBLANK(N44)," ",_xlfn.XLOOKUP(F44,Edades!$A$2:$A$101,IF(I44="F",Edades!$B$2:$B$101,Edades!$C$2:$C$101)))</f>
        <v xml:space="preserve"> </v>
      </c>
      <c r="K44" s="8"/>
      <c r="L44" s="8"/>
      <c r="M44" s="13"/>
      <c r="N44" s="8"/>
      <c r="O44" s="8"/>
      <c r="P44" s="8"/>
      <c r="Q44" s="8"/>
      <c r="R44" s="8"/>
      <c r="S44" s="8"/>
      <c r="T44" s="7"/>
      <c r="U44" s="7"/>
      <c r="V44" s="7"/>
      <c r="W44" s="7"/>
      <c r="X44" s="7"/>
      <c r="Y44" s="7"/>
      <c r="Z44" s="7"/>
      <c r="AA44" s="7"/>
    </row>
    <row r="45" spans="1:27">
      <c r="A45" s="7"/>
      <c r="B45" s="7"/>
      <c r="C45" s="2" t="e">
        <f>#REF!</f>
        <v>#REF!</v>
      </c>
      <c r="D45" s="1" t="e">
        <f>#REF!</f>
        <v>#REF!</v>
      </c>
      <c r="E45" s="15" t="e">
        <f t="shared" si="0"/>
        <v>#REF!</v>
      </c>
      <c r="F45" s="8" t="e">
        <f t="shared" ca="1" si="1"/>
        <v>#NAME?</v>
      </c>
      <c r="G45" s="12" t="e">
        <f t="array" aca="1" ref="G45" ca="1">IF(ISBLANK(N45)," ",_xlfn.XLOOKUP(D45,#REF!,#REF!))</f>
        <v>#NAME?</v>
      </c>
      <c r="H45" s="13" t="str">
        <f t="shared" ca="1" si="2"/>
        <v>2026-03-05</v>
      </c>
      <c r="I45" s="8" t="e">
        <f t="array" aca="1" ref="I45" ca="1">IF(ISBLANK(K45)," ",_xlfn.XLOOKUP(D45,#REF!,#REF!))</f>
        <v>#NAME?</v>
      </c>
      <c r="J45" s="8" t="e">
        <f t="array" aca="1" ref="J45" ca="1">IF(ISBLANK(N45)," ",_xlfn.XLOOKUP(F45,Edades!$A$2:$A$101,IF(I45="F",Edades!$B$2:$B$101,Edades!$C$2:$C$101)))</f>
        <v>#NAME?</v>
      </c>
      <c r="K45" s="8" t="str">
        <f ca="1">IFERROR(__xludf.DUMMYFUNCTION("index(query(importjson(E45)),2,)"),"57301")</f>
        <v>57301</v>
      </c>
      <c r="L45" s="8" t="str">
        <f ca="1">IFERROR(__xludf.DUMMYFUNCTION("""COMPUTED_VALUE"""),"2025")</f>
        <v>2025</v>
      </c>
      <c r="M45" s="13" t="str">
        <f ca="1">IFERROR(__xludf.DUMMYFUNCTION("""COMPUTED_VALUE"""),"31847")</f>
        <v>31847</v>
      </c>
      <c r="N45" s="8" t="str">
        <f ca="1">IFERROR(__xludf.DUMMYFUNCTION("""COMPUTED_VALUE"""),"ISU Speed Skating World Sprint Championships 2026")</f>
        <v>ISU Speed Skating World Sprint Championships 2026</v>
      </c>
      <c r="O45" s="8" t="str">
        <f ca="1">IFERROR(__xludf.DUMMYFUNCTION("""COMPUTED_VALUE"""),"2026-03-05")</f>
        <v>2026-03-05</v>
      </c>
      <c r="P45" s="8" t="str">
        <f ca="1">IFERROR(__xludf.DUMMYFUNCTION("""COMPUTED_VALUE"""),"2026-03-06")</f>
        <v>2026-03-06</v>
      </c>
      <c r="Q45" s="8" t="str">
        <f ca="1">IFERROR(__xludf.DUMMYFUNCTION("""COMPUTED_VALUE"""),"Heerenveen (NED)")</f>
        <v>Heerenveen (NED)</v>
      </c>
      <c r="R45" s="8" t="str">
        <f ca="1">IFERROR(__xludf.DUMMYFUNCTION("""COMPUTED_VALUE"""),"9")</f>
        <v>9</v>
      </c>
      <c r="S45" s="18" t="str">
        <f ca="1">IFERROR(__xludf.DUMMYFUNCTION("""COMPUTED_VALUE"""),"http://speedskatingresults.com/index.php?p=2&amp;e=31847&amp;s=57301")</f>
        <v>http://speedskatingresults.com/index.php?p=2&amp;e=31847&amp;s=57301</v>
      </c>
      <c r="T45" s="7"/>
      <c r="U45" s="7"/>
      <c r="V45" s="7"/>
      <c r="W45" s="7"/>
      <c r="X45" s="7"/>
      <c r="Y45" s="7"/>
      <c r="Z45" s="7"/>
      <c r="AA45" s="7"/>
    </row>
    <row r="46" spans="1:27">
      <c r="A46" s="7"/>
      <c r="B46" s="7"/>
      <c r="C46" s="2" t="e">
        <f>#REF!</f>
        <v>#REF!</v>
      </c>
      <c r="D46" s="1" t="e">
        <f>#REF!</f>
        <v>#REF!</v>
      </c>
      <c r="E46" s="15" t="e">
        <f t="shared" si="0"/>
        <v>#REF!</v>
      </c>
      <c r="F46" s="8" t="str">
        <f t="shared" si="1"/>
        <v xml:space="preserve"> </v>
      </c>
      <c r="G46" s="12" t="str">
        <f t="array" ref="G46">IF(ISBLANK(N46)," ",_xlfn.XLOOKUP(D46,#REF!,#REF!))</f>
        <v xml:space="preserve"> </v>
      </c>
      <c r="H46" s="13">
        <f t="shared" si="2"/>
        <v>0</v>
      </c>
      <c r="I46" s="8" t="str">
        <f t="array" ref="I46">IF(ISBLANK(K46)," ",_xlfn.XLOOKUP(D46,#REF!,#REF!))</f>
        <v xml:space="preserve"> </v>
      </c>
      <c r="J46" s="8" t="str">
        <f t="array" ref="J46">IF(ISBLANK(N46)," ",_xlfn.XLOOKUP(F46,Edades!$A$2:$A$101,IF(I46="F",Edades!$B$2:$B$101,Edades!$C$2:$C$101)))</f>
        <v xml:space="preserve"> </v>
      </c>
      <c r="K46" s="8"/>
      <c r="L46" s="8"/>
      <c r="M46" s="13"/>
      <c r="N46" s="8"/>
      <c r="O46" s="8"/>
      <c r="P46" s="8"/>
      <c r="Q46" s="8"/>
      <c r="R46" s="8"/>
      <c r="S46" s="8"/>
      <c r="T46" s="7"/>
      <c r="U46" s="7"/>
      <c r="V46" s="7"/>
      <c r="W46" s="7"/>
      <c r="X46" s="7"/>
      <c r="Y46" s="7"/>
      <c r="Z46" s="7"/>
      <c r="AA46" s="7"/>
    </row>
    <row r="47" spans="1:27">
      <c r="A47" s="7"/>
      <c r="B47" s="7"/>
      <c r="C47" s="2" t="e">
        <f>#REF!</f>
        <v>#REF!</v>
      </c>
      <c r="D47" s="1" t="e">
        <f>#REF!</f>
        <v>#REF!</v>
      </c>
      <c r="E47" s="15" t="e">
        <f t="shared" si="0"/>
        <v>#REF!</v>
      </c>
      <c r="F47" s="8" t="str">
        <f t="shared" si="1"/>
        <v xml:space="preserve"> </v>
      </c>
      <c r="G47" s="12" t="str">
        <f t="array" ref="G47">IF(ISBLANK(N47)," ",_xlfn.XLOOKUP(D47,#REF!,#REF!))</f>
        <v xml:space="preserve"> </v>
      </c>
      <c r="H47" s="13">
        <f t="shared" si="2"/>
        <v>0</v>
      </c>
      <c r="I47" s="8" t="str">
        <f t="array" ref="I47">IF(ISBLANK(K47)," ",_xlfn.XLOOKUP(D47,#REF!,#REF!))</f>
        <v xml:space="preserve"> </v>
      </c>
      <c r="J47" s="8" t="str">
        <f t="array" ref="J47">IF(ISBLANK(N47)," ",_xlfn.XLOOKUP(F47,Edades!$A$2:$A$101,IF(I47="F",Edades!$B$2:$B$101,Edades!$C$2:$C$101)))</f>
        <v xml:space="preserve"> </v>
      </c>
      <c r="K47" s="8"/>
      <c r="L47" s="8"/>
      <c r="M47" s="13"/>
      <c r="N47" s="8"/>
      <c r="O47" s="8"/>
      <c r="P47" s="8"/>
      <c r="Q47" s="8"/>
      <c r="R47" s="8"/>
      <c r="S47" s="8"/>
      <c r="T47" s="7"/>
      <c r="U47" s="7"/>
      <c r="V47" s="7"/>
      <c r="W47" s="7"/>
      <c r="X47" s="7"/>
      <c r="Y47" s="7"/>
      <c r="Z47" s="7"/>
      <c r="AA47" s="7"/>
    </row>
    <row r="48" spans="1:27">
      <c r="A48" s="7"/>
      <c r="B48" s="7"/>
      <c r="C48" s="2" t="e">
        <f>#REF!</f>
        <v>#REF!</v>
      </c>
      <c r="D48" s="1" t="e">
        <f>#REF!</f>
        <v>#REF!</v>
      </c>
      <c r="E48" s="15" t="e">
        <f t="shared" si="0"/>
        <v>#REF!</v>
      </c>
      <c r="F48" s="8" t="e">
        <f t="shared" ca="1" si="1"/>
        <v>#NAME?</v>
      </c>
      <c r="G48" s="12" t="e">
        <f t="array" aca="1" ref="G48" ca="1">IF(ISBLANK(N48)," ",_xlfn.XLOOKUP(D48,#REF!,#REF!))</f>
        <v>#NAME?</v>
      </c>
      <c r="H48" s="13" t="str">
        <f t="shared" ca="1" si="2"/>
        <v>2026-02-21</v>
      </c>
      <c r="I48" s="8" t="e">
        <f t="array" aca="1" ref="I48" ca="1">IF(ISBLANK(K48)," ",_xlfn.XLOOKUP(D48,#REF!,#REF!))</f>
        <v>#NAME?</v>
      </c>
      <c r="J48" s="8" t="e">
        <f t="array" aca="1" ref="J48" ca="1">IF(ISBLANK(N48)," ",_xlfn.XLOOKUP(F48,Edades!$A$2:$A$101,IF(I48="F",Edades!$B$2:$B$101,Edades!$C$2:$C$101)))</f>
        <v>#NAME?</v>
      </c>
      <c r="K48" s="8" t="str">
        <f ca="1">IFERROR(__xludf.DUMMYFUNCTION("index(query(importjson(E48)),2,)"),"92534")</f>
        <v>92534</v>
      </c>
      <c r="L48" s="8" t="str">
        <f ca="1">IFERROR(__xludf.DUMMYFUNCTION("""COMPUTED_VALUE"""),"2025")</f>
        <v>2025</v>
      </c>
      <c r="M48" s="13" t="str">
        <f ca="1">IFERROR(__xludf.DUMMYFUNCTION("""COMPUTED_VALUE"""),"31719")</f>
        <v>31719</v>
      </c>
      <c r="N48" s="8" t="str">
        <f ca="1">IFERROR(__xludf.DUMMYFUNCTION("""COMPUTED_VALUE"""),"ISU Speed Skating Junior World Cup #3")</f>
        <v>ISU Speed Skating Junior World Cup #3</v>
      </c>
      <c r="O48" s="8" t="str">
        <f ca="1">IFERROR(__xludf.DUMMYFUNCTION("""COMPUTED_VALUE"""),"2026-02-21")</f>
        <v>2026-02-21</v>
      </c>
      <c r="P48" s="8" t="str">
        <f ca="1">IFERROR(__xludf.DUMMYFUNCTION("""COMPUTED_VALUE"""),"2026-02-22")</f>
        <v>2026-02-22</v>
      </c>
      <c r="Q48" s="8" t="str">
        <f ca="1">IFERROR(__xludf.DUMMYFUNCTION("""COMPUTED_VALUE"""),"Inzell (GER)")</f>
        <v>Inzell (GER)</v>
      </c>
      <c r="R48" s="8" t="str">
        <f ca="1">IFERROR(__xludf.DUMMYFUNCTION("""COMPUTED_VALUE"""),"11")</f>
        <v>11</v>
      </c>
      <c r="S48" s="18" t="str">
        <f ca="1">IFERROR(__xludf.DUMMYFUNCTION("""COMPUTED_VALUE"""),"http://speedskatingresults.com/index.php?p=2&amp;e=31719&amp;s=92534")</f>
        <v>http://speedskatingresults.com/index.php?p=2&amp;e=31719&amp;s=92534</v>
      </c>
      <c r="T48" s="7"/>
      <c r="U48" s="7"/>
      <c r="V48" s="7"/>
      <c r="W48" s="7"/>
      <c r="X48" s="7"/>
      <c r="Y48" s="7"/>
      <c r="Z48" s="7"/>
      <c r="AA48" s="7"/>
    </row>
    <row r="49" spans="1:27">
      <c r="A49" s="7"/>
      <c r="B49" s="7"/>
      <c r="C49" s="2" t="e">
        <f>#REF!</f>
        <v>#REF!</v>
      </c>
      <c r="D49" s="1" t="e">
        <f>#REF!</f>
        <v>#REF!</v>
      </c>
      <c r="E49" s="15" t="e">
        <f t="shared" si="0"/>
        <v>#REF!</v>
      </c>
      <c r="F49" s="8" t="e">
        <f t="shared" ca="1" si="1"/>
        <v>#NAME?</v>
      </c>
      <c r="G49" s="12" t="e">
        <f t="array" aca="1" ref="G49" ca="1">IF(ISBLANK(N49)," ",_xlfn.XLOOKUP(D49,#REF!,#REF!))</f>
        <v>#NAME?</v>
      </c>
      <c r="H49" s="13" t="str">
        <f t="shared" ca="1" si="2"/>
        <v>2026-02-21</v>
      </c>
      <c r="I49" s="8" t="e">
        <f t="array" aca="1" ref="I49" ca="1">IF(ISBLANK(K49)," ",_xlfn.XLOOKUP(D49,#REF!,#REF!))</f>
        <v>#NAME?</v>
      </c>
      <c r="J49" s="8" t="e">
        <f t="array" aca="1" ref="J49" ca="1">IF(ISBLANK(N49)," ",_xlfn.XLOOKUP(F49,Edades!$A$2:$A$101,IF(I49="F",Edades!$B$2:$B$101,Edades!$C$2:$C$101)))</f>
        <v>#NAME?</v>
      </c>
      <c r="K49" s="8" t="str">
        <f ca="1">IFERROR(__xludf.DUMMYFUNCTION("index(query(importjson(E49)),2,)"),"89457")</f>
        <v>89457</v>
      </c>
      <c r="L49" s="8" t="str">
        <f ca="1">IFERROR(__xludf.DUMMYFUNCTION("""COMPUTED_VALUE"""),"2025")</f>
        <v>2025</v>
      </c>
      <c r="M49" s="13" t="str">
        <f ca="1">IFERROR(__xludf.DUMMYFUNCTION("""COMPUTED_VALUE"""),"31719")</f>
        <v>31719</v>
      </c>
      <c r="N49" s="8" t="str">
        <f ca="1">IFERROR(__xludf.DUMMYFUNCTION("""COMPUTED_VALUE"""),"ISU Speed Skating Junior World Cup #3")</f>
        <v>ISU Speed Skating Junior World Cup #3</v>
      </c>
      <c r="O49" s="8" t="str">
        <f ca="1">IFERROR(__xludf.DUMMYFUNCTION("""COMPUTED_VALUE"""),"2026-02-21")</f>
        <v>2026-02-21</v>
      </c>
      <c r="P49" s="8" t="str">
        <f ca="1">IFERROR(__xludf.DUMMYFUNCTION("""COMPUTED_VALUE"""),"2026-02-22")</f>
        <v>2026-02-22</v>
      </c>
      <c r="Q49" s="8" t="str">
        <f ca="1">IFERROR(__xludf.DUMMYFUNCTION("""COMPUTED_VALUE"""),"Inzell (GER)")</f>
        <v>Inzell (GER)</v>
      </c>
      <c r="R49" s="8" t="str">
        <f ca="1">IFERROR(__xludf.DUMMYFUNCTION("""COMPUTED_VALUE"""),"11")</f>
        <v>11</v>
      </c>
      <c r="S49" s="18" t="str">
        <f ca="1">IFERROR(__xludf.DUMMYFUNCTION("""COMPUTED_VALUE"""),"http://speedskatingresults.com/index.php?p=2&amp;e=31719&amp;s=89457")</f>
        <v>http://speedskatingresults.com/index.php?p=2&amp;e=31719&amp;s=89457</v>
      </c>
      <c r="T49" s="7"/>
      <c r="U49" s="7"/>
      <c r="V49" s="7"/>
      <c r="W49" s="7"/>
      <c r="X49" s="7"/>
      <c r="Y49" s="7"/>
      <c r="Z49" s="7"/>
      <c r="AA49" s="7"/>
    </row>
    <row r="50" spans="1:27">
      <c r="A50" s="7"/>
      <c r="B50" s="7"/>
      <c r="C50" s="2" t="e">
        <f>#REF!</f>
        <v>#REF!</v>
      </c>
      <c r="D50" s="1" t="e">
        <f>#REF!</f>
        <v>#REF!</v>
      </c>
      <c r="E50" s="15" t="e">
        <f t="shared" si="0"/>
        <v>#REF!</v>
      </c>
      <c r="F50" s="8" t="e">
        <f t="shared" ca="1" si="1"/>
        <v>#NAME?</v>
      </c>
      <c r="G50" s="12" t="e">
        <f t="array" aca="1" ref="G50" ca="1">IF(ISBLANK(N50)," ",_xlfn.XLOOKUP(D50,#REF!,#REF!))</f>
        <v>#NAME?</v>
      </c>
      <c r="H50" s="13" t="str">
        <f t="shared" ca="1" si="2"/>
        <v>2026-02-27</v>
      </c>
      <c r="I50" s="8" t="e">
        <f t="array" aca="1" ref="I50" ca="1">IF(ISBLANK(K50)," ",_xlfn.XLOOKUP(D50,#REF!,#REF!))</f>
        <v>#NAME?</v>
      </c>
      <c r="J50" s="8" t="e">
        <f t="array" aca="1" ref="J50" ca="1">IF(ISBLANK(N50)," ",_xlfn.XLOOKUP(F50,Edades!$A$2:$A$101,IF(I50="F",Edades!$B$2:$B$101,Edades!$C$2:$C$101)))</f>
        <v>#NAME?</v>
      </c>
      <c r="K50" s="8" t="str">
        <f ca="1">IFERROR(__xludf.DUMMYFUNCTION("index(query(importjson(E50)),2,)"),"106983")</f>
        <v>106983</v>
      </c>
      <c r="L50" s="8" t="str">
        <f ca="1">IFERROR(__xludf.DUMMYFUNCTION("""COMPUTED_VALUE"""),"2025")</f>
        <v>2025</v>
      </c>
      <c r="M50" s="13" t="str">
        <f ca="1">IFERROR(__xludf.DUMMYFUNCTION("""COMPUTED_VALUE"""),"31773")</f>
        <v>31773</v>
      </c>
      <c r="N50" s="8" t="str">
        <f ca="1">IFERROR(__xludf.DUMMYFUNCTION("""COMPUTED_VALUE"""),"ISU Junior World Championships 2026")</f>
        <v>ISU Junior World Championships 2026</v>
      </c>
      <c r="O50" s="8" t="str">
        <f ca="1">IFERROR(__xludf.DUMMYFUNCTION("""COMPUTED_VALUE"""),"2026-02-27")</f>
        <v>2026-02-27</v>
      </c>
      <c r="P50" s="8" t="str">
        <f ca="1">IFERROR(__xludf.DUMMYFUNCTION("""COMPUTED_VALUE"""),"2026-03-01")</f>
        <v>2026-03-01</v>
      </c>
      <c r="Q50" s="8" t="str">
        <f ca="1">IFERROR(__xludf.DUMMYFUNCTION("""COMPUTED_VALUE"""),"Inzell (GER)")</f>
        <v>Inzell (GER)</v>
      </c>
      <c r="R50" s="8" t="str">
        <f ca="1">IFERROR(__xludf.DUMMYFUNCTION("""COMPUTED_VALUE"""),"11")</f>
        <v>11</v>
      </c>
      <c r="S50" s="18" t="str">
        <f ca="1">IFERROR(__xludf.DUMMYFUNCTION("""COMPUTED_VALUE"""),"http://speedskatingresults.com/index.php?p=2&amp;e=31773&amp;s=106983")</f>
        <v>http://speedskatingresults.com/index.php?p=2&amp;e=31773&amp;s=106983</v>
      </c>
      <c r="T50" s="7"/>
      <c r="U50" s="7"/>
      <c r="V50" s="7"/>
      <c r="W50" s="7"/>
      <c r="X50" s="7"/>
      <c r="Y50" s="7"/>
      <c r="Z50" s="7"/>
      <c r="AA50" s="7"/>
    </row>
    <row r="51" spans="1:27">
      <c r="A51" s="7"/>
      <c r="B51" s="7"/>
      <c r="C51" s="2" t="e">
        <f>#REF!</f>
        <v>#REF!</v>
      </c>
      <c r="D51" s="1" t="e">
        <f>#REF!</f>
        <v>#REF!</v>
      </c>
      <c r="E51" s="15" t="e">
        <f t="shared" si="0"/>
        <v>#REF!</v>
      </c>
      <c r="F51" s="8" t="str">
        <f t="shared" si="1"/>
        <v xml:space="preserve"> </v>
      </c>
      <c r="G51" s="12" t="str">
        <f t="array" ref="G51">IF(ISBLANK(N51)," ",_xlfn.XLOOKUP(D51,#REF!,#REF!))</f>
        <v xml:space="preserve"> </v>
      </c>
      <c r="H51" s="13">
        <f t="shared" si="2"/>
        <v>0</v>
      </c>
      <c r="I51" s="8" t="str">
        <f t="array" ref="I51">IF(ISBLANK(K51)," ",_xlfn.XLOOKUP(D51,#REF!,#REF!))</f>
        <v xml:space="preserve"> </v>
      </c>
      <c r="J51" s="8" t="str">
        <f t="array" ref="J51">IF(ISBLANK(N51)," ",_xlfn.XLOOKUP(F51,Edades!$A$2:$A$101,IF(I51="F",Edades!$B$2:$B$101,Edades!$C$2:$C$101)))</f>
        <v xml:space="preserve"> </v>
      </c>
      <c r="K51" s="8"/>
      <c r="L51" s="8"/>
      <c r="M51" s="13"/>
      <c r="N51" s="8"/>
      <c r="O51" s="8"/>
      <c r="P51" s="8"/>
      <c r="Q51" s="8"/>
      <c r="R51" s="8"/>
      <c r="S51" s="8"/>
      <c r="T51" s="7"/>
      <c r="U51" s="7"/>
      <c r="V51" s="7"/>
      <c r="W51" s="7"/>
      <c r="X51" s="7"/>
      <c r="Y51" s="7"/>
      <c r="Z51" s="7"/>
      <c r="AA51" s="7"/>
    </row>
    <row r="52" spans="1:27">
      <c r="A52" s="7"/>
      <c r="B52" s="7"/>
      <c r="C52" s="2" t="e">
        <f>#REF!</f>
        <v>#REF!</v>
      </c>
      <c r="D52" s="1" t="e">
        <f>#REF!</f>
        <v>#REF!</v>
      </c>
      <c r="E52" s="15" t="e">
        <f t="shared" si="0"/>
        <v>#REF!</v>
      </c>
      <c r="F52" s="8" t="e">
        <f t="shared" ca="1" si="1"/>
        <v>#NAME?</v>
      </c>
      <c r="G52" s="12" t="e">
        <f t="array" aca="1" ref="G52" ca="1">IF(ISBLANK(N52)," ",_xlfn.XLOOKUP(D52,#REF!,#REF!))</f>
        <v>#NAME?</v>
      </c>
      <c r="H52" s="13" t="str">
        <f t="shared" ca="1" si="2"/>
        <v>2026-02-07</v>
      </c>
      <c r="I52" s="8" t="e">
        <f t="array" aca="1" ref="I52" ca="1">IF(ISBLANK(K52)," ",_xlfn.XLOOKUP(D52,#REF!,#REF!))</f>
        <v>#NAME?</v>
      </c>
      <c r="J52" s="8" t="e">
        <f t="array" aca="1" ref="J52" ca="1">IF(ISBLANK(N52)," ",_xlfn.XLOOKUP(F52,Edades!$A$2:$A$101,IF(I52="F",Edades!$B$2:$B$101,Edades!$C$2:$C$101)))</f>
        <v>#NAME?</v>
      </c>
      <c r="K52" s="8" t="str">
        <f ca="1">IFERROR(__xludf.DUMMYFUNCTION("index(query(importjson(E52)),2,)"),"108342")</f>
        <v>108342</v>
      </c>
      <c r="L52" s="8" t="str">
        <f ca="1">IFERROR(__xludf.DUMMYFUNCTION("""COMPUTED_VALUE"""),"2025")</f>
        <v>2025</v>
      </c>
      <c r="M52" s="13" t="str">
        <f ca="1">IFERROR(__xludf.DUMMYFUNCTION("""COMPUTED_VALUE"""),"31588")</f>
        <v>31588</v>
      </c>
      <c r="N52" s="8" t="str">
        <f ca="1">IFERROR(__xludf.DUMMYFUNCTION("""COMPUTED_VALUE"""),"Olympic Winter Games 2026")</f>
        <v>Olympic Winter Games 2026</v>
      </c>
      <c r="O52" s="8" t="str">
        <f ca="1">IFERROR(__xludf.DUMMYFUNCTION("""COMPUTED_VALUE"""),"2026-02-07")</f>
        <v>2026-02-07</v>
      </c>
      <c r="P52" s="8" t="str">
        <f ca="1">IFERROR(__xludf.DUMMYFUNCTION("""COMPUTED_VALUE"""),"2026-02-21")</f>
        <v>2026-02-21</v>
      </c>
      <c r="Q52" s="8" t="str">
        <f ca="1">IFERROR(__xludf.DUMMYFUNCTION("""COMPUTED_VALUE"""),"Milano (ITA)")</f>
        <v>Milano (ITA)</v>
      </c>
      <c r="R52" s="8" t="str">
        <f ca="1">IFERROR(__xludf.DUMMYFUNCTION("""COMPUTED_VALUE"""),"308")</f>
        <v>308</v>
      </c>
      <c r="S52" s="18" t="str">
        <f ca="1">IFERROR(__xludf.DUMMYFUNCTION("""COMPUTED_VALUE"""),"http://speedskatingresults.com/index.php?p=2&amp;e=31588&amp;s=108342")</f>
        <v>http://speedskatingresults.com/index.php?p=2&amp;e=31588&amp;s=108342</v>
      </c>
      <c r="T52" s="7"/>
      <c r="U52" s="7"/>
      <c r="V52" s="7"/>
      <c r="W52" s="7"/>
      <c r="X52" s="7"/>
      <c r="Y52" s="7"/>
      <c r="Z52" s="7"/>
      <c r="AA52" s="7"/>
    </row>
    <row r="53" spans="1:27">
      <c r="A53" s="7"/>
      <c r="B53" s="7"/>
      <c r="C53" s="2" t="e">
        <f>#REF!</f>
        <v>#REF!</v>
      </c>
      <c r="D53" s="1" t="e">
        <f>#REF!</f>
        <v>#REF!</v>
      </c>
      <c r="E53" s="15" t="e">
        <f t="shared" si="0"/>
        <v>#REF!</v>
      </c>
      <c r="F53" s="8" t="e">
        <f t="shared" ca="1" si="1"/>
        <v>#NAME?</v>
      </c>
      <c r="G53" s="12" t="e">
        <f t="array" aca="1" ref="G53" ca="1">IF(ISBLANK(N53)," ",_xlfn.XLOOKUP(D53,#REF!,#REF!))</f>
        <v>#NAME?</v>
      </c>
      <c r="H53" s="13" t="str">
        <f t="shared" ca="1" si="2"/>
        <v>2025-10-24</v>
      </c>
      <c r="I53" s="8" t="e">
        <f t="array" aca="1" ref="I53" ca="1">IF(ISBLANK(K53)," ",_xlfn.XLOOKUP(D53,#REF!,#REF!))</f>
        <v>#NAME?</v>
      </c>
      <c r="J53" s="8" t="e">
        <f t="array" aca="1" ref="J53" ca="1">IF(ISBLANK(N53)," ",_xlfn.XLOOKUP(F53,Edades!$A$2:$A$101,IF(I53="F",Edades!$B$2:$B$101,Edades!$C$2:$C$101)))</f>
        <v>#NAME?</v>
      </c>
      <c r="K53" s="8" t="str">
        <f ca="1">IFERROR(__xludf.DUMMYFUNCTION("index(query(importjson(E53)),2,)"),"94320")</f>
        <v>94320</v>
      </c>
      <c r="L53" s="8" t="str">
        <f ca="1">IFERROR(__xludf.DUMMYFUNCTION("""COMPUTED_VALUE"""),"2025")</f>
        <v>2025</v>
      </c>
      <c r="M53" s="13" t="str">
        <f ca="1">IFERROR(__xludf.DUMMYFUNCTION("""COMPUTED_VALUE"""),"30591")</f>
        <v>30591</v>
      </c>
      <c r="N53" s="8" t="str">
        <f ca="1">IFERROR(__xludf.DUMMYFUNCTION("""COMPUTED_VALUE"""),"International Race")</f>
        <v>International Race</v>
      </c>
      <c r="O53" s="8" t="str">
        <f ca="1">IFERROR(__xludf.DUMMYFUNCTION("""COMPUTED_VALUE"""),"2025-10-24")</f>
        <v>2025-10-24</v>
      </c>
      <c r="P53" s="8" t="str">
        <f ca="1">IFERROR(__xludf.DUMMYFUNCTION("""COMPUTED_VALUE"""),"2025-10-26")</f>
        <v>2025-10-26</v>
      </c>
      <c r="Q53" s="8" t="str">
        <f ca="1">IFERROR(__xludf.DUMMYFUNCTION("""COMPUTED_VALUE"""),"Inzell (GER)")</f>
        <v>Inzell (GER)</v>
      </c>
      <c r="R53" s="8" t="str">
        <f ca="1">IFERROR(__xludf.DUMMYFUNCTION("""COMPUTED_VALUE"""),"11")</f>
        <v>11</v>
      </c>
      <c r="S53" s="18" t="str">
        <f ca="1">IFERROR(__xludf.DUMMYFUNCTION("""COMPUTED_VALUE"""),"http://speedskatingresults.com/index.php?p=2&amp;e=30591&amp;s=94320")</f>
        <v>http://speedskatingresults.com/index.php?p=2&amp;e=30591&amp;s=94320</v>
      </c>
      <c r="T53" s="7"/>
      <c r="U53" s="7"/>
      <c r="V53" s="7"/>
      <c r="W53" s="7"/>
      <c r="X53" s="7"/>
      <c r="Y53" s="7"/>
      <c r="Z53" s="7"/>
      <c r="AA53" s="7"/>
    </row>
    <row r="54" spans="1:27">
      <c r="A54" s="7"/>
      <c r="B54" s="7"/>
      <c r="C54" s="2" t="e">
        <f>#REF!</f>
        <v>#REF!</v>
      </c>
      <c r="D54" s="1" t="e">
        <f>#REF!</f>
        <v>#REF!</v>
      </c>
      <c r="E54" s="15" t="e">
        <f t="shared" si="0"/>
        <v>#REF!</v>
      </c>
      <c r="F54" s="8" t="e">
        <f t="shared" ca="1" si="1"/>
        <v>#NAME?</v>
      </c>
      <c r="G54" s="12" t="e">
        <f t="array" aca="1" ref="G54" ca="1">IF(ISBLANK(N54)," ",_xlfn.XLOOKUP(D54,#REF!,#REF!))</f>
        <v>#NAME?</v>
      </c>
      <c r="H54" s="13" t="str">
        <f t="shared" ca="1" si="2"/>
        <v>2025-10-24</v>
      </c>
      <c r="I54" s="8" t="e">
        <f t="array" aca="1" ref="I54" ca="1">IF(ISBLANK(K54)," ",_xlfn.XLOOKUP(D54,#REF!,#REF!))</f>
        <v>#NAME?</v>
      </c>
      <c r="J54" s="8" t="e">
        <f t="array" aca="1" ref="J54" ca="1">IF(ISBLANK(N54)," ",_xlfn.XLOOKUP(F54,Edades!$A$2:$A$101,IF(I54="F",Edades!$B$2:$B$101,Edades!$C$2:$C$101)))</f>
        <v>#NAME?</v>
      </c>
      <c r="K54" s="8" t="str">
        <f ca="1">IFERROR(__xludf.DUMMYFUNCTION("index(query(importjson(E54)),2,)"),"60820")</f>
        <v>60820</v>
      </c>
      <c r="L54" s="8" t="str">
        <f ca="1">IFERROR(__xludf.DUMMYFUNCTION("""COMPUTED_VALUE"""),"2025")</f>
        <v>2025</v>
      </c>
      <c r="M54" s="13" t="str">
        <f ca="1">IFERROR(__xludf.DUMMYFUNCTION("""COMPUTED_VALUE"""),"30591")</f>
        <v>30591</v>
      </c>
      <c r="N54" s="8" t="str">
        <f ca="1">IFERROR(__xludf.DUMMYFUNCTION("""COMPUTED_VALUE"""),"International Race")</f>
        <v>International Race</v>
      </c>
      <c r="O54" s="8" t="str">
        <f ca="1">IFERROR(__xludf.DUMMYFUNCTION("""COMPUTED_VALUE"""),"2025-10-24")</f>
        <v>2025-10-24</v>
      </c>
      <c r="P54" s="8" t="str">
        <f ca="1">IFERROR(__xludf.DUMMYFUNCTION("""COMPUTED_VALUE"""),"2025-10-26")</f>
        <v>2025-10-26</v>
      </c>
      <c r="Q54" s="8" t="str">
        <f ca="1">IFERROR(__xludf.DUMMYFUNCTION("""COMPUTED_VALUE"""),"Inzell (GER)")</f>
        <v>Inzell (GER)</v>
      </c>
      <c r="R54" s="8" t="str">
        <f ca="1">IFERROR(__xludf.DUMMYFUNCTION("""COMPUTED_VALUE"""),"11")</f>
        <v>11</v>
      </c>
      <c r="S54" s="18" t="str">
        <f ca="1">IFERROR(__xludf.DUMMYFUNCTION("""COMPUTED_VALUE"""),"http://speedskatingresults.com/index.php?p=2&amp;e=30591&amp;s=60820")</f>
        <v>http://speedskatingresults.com/index.php?p=2&amp;e=30591&amp;s=60820</v>
      </c>
      <c r="T54" s="7"/>
      <c r="U54" s="7"/>
      <c r="V54" s="7"/>
      <c r="W54" s="7"/>
      <c r="X54" s="7"/>
      <c r="Y54" s="7"/>
      <c r="Z54" s="7"/>
      <c r="AA54" s="7"/>
    </row>
    <row r="55" spans="1:27">
      <c r="A55" s="7"/>
      <c r="B55" s="7"/>
      <c r="C55" s="2" t="e">
        <f>#REF!</f>
        <v>#REF!</v>
      </c>
      <c r="D55" s="1" t="e">
        <f>#REF!</f>
        <v>#REF!</v>
      </c>
      <c r="E55" s="15" t="e">
        <f t="shared" si="0"/>
        <v>#REF!</v>
      </c>
      <c r="F55" s="8" t="str">
        <f t="shared" si="1"/>
        <v xml:space="preserve"> </v>
      </c>
      <c r="G55" s="12" t="str">
        <f t="array" ref="G55">IF(ISBLANK(N55)," ",_xlfn.XLOOKUP(D55,#REF!,#REF!))</f>
        <v xml:space="preserve"> </v>
      </c>
      <c r="H55" s="13">
        <f t="shared" si="2"/>
        <v>0</v>
      </c>
      <c r="I55" s="8" t="str">
        <f t="array" ref="I55">IF(ISBLANK(K55)," ",_xlfn.XLOOKUP(D55,#REF!,#REF!))</f>
        <v xml:space="preserve"> </v>
      </c>
      <c r="J55" s="8" t="str">
        <f t="array" ref="J55">IF(ISBLANK(N55)," ",_xlfn.XLOOKUP(F55,Edades!$A$2:$A$101,IF(I55="F",Edades!$B$2:$B$101,Edades!$C$2:$C$101)))</f>
        <v xml:space="preserve"> </v>
      </c>
      <c r="K55" s="8"/>
      <c r="L55" s="8"/>
      <c r="M55" s="13"/>
      <c r="N55" s="8"/>
      <c r="O55" s="8"/>
      <c r="P55" s="8"/>
      <c r="Q55" s="8"/>
      <c r="R55" s="8"/>
      <c r="S55" s="8"/>
      <c r="T55" s="7"/>
      <c r="U55" s="7"/>
      <c r="V55" s="7"/>
      <c r="W55" s="7"/>
      <c r="X55" s="7"/>
      <c r="Y55" s="7"/>
      <c r="Z55" s="7"/>
      <c r="AA55" s="7"/>
    </row>
    <row r="56" spans="1:27">
      <c r="A56" s="7"/>
      <c r="B56" s="7"/>
      <c r="C56" s="2" t="e">
        <f>#REF!</f>
        <v>#REF!</v>
      </c>
      <c r="D56" s="1" t="e">
        <f>#REF!</f>
        <v>#REF!</v>
      </c>
      <c r="E56" s="15" t="e">
        <f t="shared" si="0"/>
        <v>#REF!</v>
      </c>
      <c r="F56" s="8" t="str">
        <f t="shared" si="1"/>
        <v xml:space="preserve"> </v>
      </c>
      <c r="G56" s="12" t="str">
        <f t="array" ref="G56">IF(ISBLANK(N56)," ",_xlfn.XLOOKUP(D56,#REF!,#REF!))</f>
        <v xml:space="preserve"> </v>
      </c>
      <c r="H56" s="13">
        <f t="shared" si="2"/>
        <v>0</v>
      </c>
      <c r="I56" s="8" t="str">
        <f t="array" ref="I56">IF(ISBLANK(K56)," ",_xlfn.XLOOKUP(D56,#REF!,#REF!))</f>
        <v xml:space="preserve"> </v>
      </c>
      <c r="J56" s="8" t="str">
        <f t="array" ref="J56">IF(ISBLANK(N56)," ",_xlfn.XLOOKUP(F56,Edades!$A$2:$A$101,IF(I56="F",Edades!$B$2:$B$101,Edades!$C$2:$C$101)))</f>
        <v xml:space="preserve"> </v>
      </c>
      <c r="K56" s="8"/>
      <c r="L56" s="8"/>
      <c r="M56" s="13"/>
      <c r="N56" s="8"/>
      <c r="O56" s="8"/>
      <c r="P56" s="8"/>
      <c r="Q56" s="8"/>
      <c r="R56" s="8"/>
      <c r="S56" s="8"/>
      <c r="T56" s="7"/>
      <c r="U56" s="7"/>
      <c r="V56" s="7"/>
      <c r="W56" s="7"/>
      <c r="X56" s="7"/>
      <c r="Y56" s="7"/>
      <c r="Z56" s="7"/>
      <c r="AA56" s="7"/>
    </row>
    <row r="57" spans="1:27">
      <c r="A57" s="7"/>
      <c r="B57" s="7"/>
      <c r="C57" s="2" t="e">
        <f>#REF!</f>
        <v>#REF!</v>
      </c>
      <c r="D57" s="1" t="e">
        <f>#REF!</f>
        <v>#REF!</v>
      </c>
      <c r="E57" s="15" t="e">
        <f t="shared" si="0"/>
        <v>#REF!</v>
      </c>
      <c r="F57" s="8" t="e">
        <f t="shared" ca="1" si="1"/>
        <v>#NAME?</v>
      </c>
      <c r="G57" s="12" t="e">
        <f t="array" aca="1" ref="G57" ca="1">IF(ISBLANK(N57)," ",_xlfn.XLOOKUP(D57,#REF!,#REF!))</f>
        <v>#NAME?</v>
      </c>
      <c r="H57" s="13" t="str">
        <f t="shared" ca="1" si="2"/>
        <v>2026-03-04</v>
      </c>
      <c r="I57" s="8" t="e">
        <f t="array" aca="1" ref="I57" ca="1">IF(ISBLANK(K57)," ",_xlfn.XLOOKUP(D57,#REF!,#REF!))</f>
        <v>#NAME?</v>
      </c>
      <c r="J57" s="8" t="e">
        <f t="array" aca="1" ref="J57" ca="1">IF(ISBLANK(N57)," ",_xlfn.XLOOKUP(F57,Edades!$A$2:$A$101,IF(I57="F",Edades!$B$2:$B$101,Edades!$C$2:$C$101)))</f>
        <v>#NAME?</v>
      </c>
      <c r="K57" s="8" t="str">
        <f ca="1">IFERROR(__xludf.DUMMYFUNCTION("index(query(importjson(E57)),2,)"),"5540")</f>
        <v>5540</v>
      </c>
      <c r="L57" s="8" t="str">
        <f ca="1">IFERROR(__xludf.DUMMYFUNCTION("""COMPUTED_VALUE"""),"2025")</f>
        <v>2025</v>
      </c>
      <c r="M57" s="13" t="str">
        <f ca="1">IFERROR(__xludf.DUMMYFUNCTION("""COMPUTED_VALUE"""),"32050")</f>
        <v>32050</v>
      </c>
      <c r="N57" s="8" t="str">
        <f ca="1">IFERROR(__xludf.DUMMYFUNCTION("""COMPUTED_VALUE"""),"OABIK Skøyteutvalget: Testløp på Valle Hovin.")</f>
        <v>OABIK Skøyteutvalget: Testløp på Valle Hovin.</v>
      </c>
      <c r="O57" s="8" t="str">
        <f ca="1">IFERROR(__xludf.DUMMYFUNCTION("""COMPUTED_VALUE"""),"2026-03-04")</f>
        <v>2026-03-04</v>
      </c>
      <c r="P57" s="8" t="str">
        <f ca="1">IFERROR(__xludf.DUMMYFUNCTION("""COMPUTED_VALUE"""),"2026-03-04")</f>
        <v>2026-03-04</v>
      </c>
      <c r="Q57" s="8" t="str">
        <f ca="1">IFERROR(__xludf.DUMMYFUNCTION("""COMPUTED_VALUE"""),"Oslo - Valle Hovin (NOR)")</f>
        <v>Oslo - Valle Hovin (NOR)</v>
      </c>
      <c r="R57" s="8" t="str">
        <f ca="1">IFERROR(__xludf.DUMMYFUNCTION("""COMPUTED_VALUE"""),"37")</f>
        <v>37</v>
      </c>
      <c r="S57" s="18" t="str">
        <f ca="1">IFERROR(__xludf.DUMMYFUNCTION("""COMPUTED_VALUE"""),"http://speedskatingresults.com/index.php?p=2&amp;e=32050&amp;s=5540")</f>
        <v>http://speedskatingresults.com/index.php?p=2&amp;e=32050&amp;s=5540</v>
      </c>
      <c r="T57" s="7"/>
      <c r="U57" s="7"/>
      <c r="V57" s="7"/>
      <c r="W57" s="7"/>
      <c r="X57" s="7"/>
      <c r="Y57" s="7"/>
      <c r="Z57" s="7"/>
      <c r="AA57" s="7"/>
    </row>
    <row r="58" spans="1:27">
      <c r="A58" s="7"/>
      <c r="B58" s="7"/>
      <c r="C58" s="2" t="e">
        <f>#REF!</f>
        <v>#REF!</v>
      </c>
      <c r="D58" s="1" t="e">
        <f>#REF!</f>
        <v>#REF!</v>
      </c>
      <c r="E58" s="15" t="e">
        <f t="shared" si="0"/>
        <v>#REF!</v>
      </c>
      <c r="F58" s="8" t="e">
        <f t="shared" ca="1" si="1"/>
        <v>#NAME?</v>
      </c>
      <c r="G58" s="12" t="e">
        <f t="array" aca="1" ref="G58" ca="1">IF(ISBLANK(N58)," ",_xlfn.XLOOKUP(D58,#REF!,#REF!))</f>
        <v>#NAME?</v>
      </c>
      <c r="H58" s="13" t="str">
        <f t="shared" ca="1" si="2"/>
        <v>2026-02-21</v>
      </c>
      <c r="I58" s="8" t="e">
        <f t="array" aca="1" ref="I58" ca="1">IF(ISBLANK(K58)," ",_xlfn.XLOOKUP(D58,#REF!,#REF!))</f>
        <v>#NAME?</v>
      </c>
      <c r="J58" s="8" t="e">
        <f t="array" aca="1" ref="J58" ca="1">IF(ISBLANK(N58)," ",_xlfn.XLOOKUP(F58,Edades!$A$2:$A$101,IF(I58="F",Edades!$B$2:$B$101,Edades!$C$2:$C$101)))</f>
        <v>#NAME?</v>
      </c>
      <c r="K58" s="8" t="str">
        <f ca="1">IFERROR(__xludf.DUMMYFUNCTION("index(query(importjson(E58)),2,)"),"75917")</f>
        <v>75917</v>
      </c>
      <c r="L58" s="8" t="str">
        <f ca="1">IFERROR(__xludf.DUMMYFUNCTION("""COMPUTED_VALUE"""),"2025")</f>
        <v>2025</v>
      </c>
      <c r="M58" s="13" t="str">
        <f ca="1">IFERROR(__xludf.DUMMYFUNCTION("""COMPUTED_VALUE"""),"31719")</f>
        <v>31719</v>
      </c>
      <c r="N58" s="8" t="str">
        <f ca="1">IFERROR(__xludf.DUMMYFUNCTION("""COMPUTED_VALUE"""),"ISU Speed Skating Junior World Cup #3")</f>
        <v>ISU Speed Skating Junior World Cup #3</v>
      </c>
      <c r="O58" s="8" t="str">
        <f ca="1">IFERROR(__xludf.DUMMYFUNCTION("""COMPUTED_VALUE"""),"2026-02-21")</f>
        <v>2026-02-21</v>
      </c>
      <c r="P58" s="8" t="str">
        <f ca="1">IFERROR(__xludf.DUMMYFUNCTION("""COMPUTED_VALUE"""),"2026-02-22")</f>
        <v>2026-02-22</v>
      </c>
      <c r="Q58" s="8" t="str">
        <f ca="1">IFERROR(__xludf.DUMMYFUNCTION("""COMPUTED_VALUE"""),"Inzell (GER)")</f>
        <v>Inzell (GER)</v>
      </c>
      <c r="R58" s="8" t="str">
        <f ca="1">IFERROR(__xludf.DUMMYFUNCTION("""COMPUTED_VALUE"""),"11")</f>
        <v>11</v>
      </c>
      <c r="S58" s="18" t="str">
        <f ca="1">IFERROR(__xludf.DUMMYFUNCTION("""COMPUTED_VALUE"""),"http://speedskatingresults.com/index.php?p=2&amp;e=31719&amp;s=75917")</f>
        <v>http://speedskatingresults.com/index.php?p=2&amp;e=31719&amp;s=75917</v>
      </c>
      <c r="T58" s="7"/>
      <c r="U58" s="7"/>
      <c r="V58" s="7"/>
      <c r="W58" s="7"/>
      <c r="X58" s="7"/>
      <c r="Y58" s="7"/>
      <c r="Z58" s="7"/>
      <c r="AA58" s="7"/>
    </row>
    <row r="59" spans="1:27">
      <c r="A59" s="7"/>
      <c r="B59" s="7"/>
      <c r="C59" s="2" t="e">
        <f>#REF!</f>
        <v>#REF!</v>
      </c>
      <c r="D59" s="1" t="e">
        <f>#REF!</f>
        <v>#REF!</v>
      </c>
      <c r="E59" s="15" t="e">
        <f t="shared" si="0"/>
        <v>#REF!</v>
      </c>
      <c r="F59" s="8" t="e">
        <f t="shared" ca="1" si="1"/>
        <v>#NAME?</v>
      </c>
      <c r="G59" s="12" t="e">
        <f t="array" aca="1" ref="G59" ca="1">IF(ISBLANK(N59)," ",_xlfn.XLOOKUP(D59,#REF!,#REF!))</f>
        <v>#NAME?</v>
      </c>
      <c r="H59" s="13" t="str">
        <f t="shared" ca="1" si="2"/>
        <v>2026-02-21</v>
      </c>
      <c r="I59" s="8" t="e">
        <f t="array" aca="1" ref="I59" ca="1">IF(ISBLANK(K59)," ",_xlfn.XLOOKUP(D59,#REF!,#REF!))</f>
        <v>#NAME?</v>
      </c>
      <c r="J59" s="8" t="e">
        <f t="array" aca="1" ref="J59" ca="1">IF(ISBLANK(N59)," ",_xlfn.XLOOKUP(F59,Edades!$A$2:$A$101,IF(I59="F",Edades!$B$2:$B$101,Edades!$C$2:$C$101)))</f>
        <v>#NAME?</v>
      </c>
      <c r="K59" s="8" t="str">
        <f ca="1">IFERROR(__xludf.DUMMYFUNCTION("index(query(importjson(E59)),2,)"),"83279")</f>
        <v>83279</v>
      </c>
      <c r="L59" s="8" t="str">
        <f ca="1">IFERROR(__xludf.DUMMYFUNCTION("""COMPUTED_VALUE"""),"2025")</f>
        <v>2025</v>
      </c>
      <c r="M59" s="13" t="str">
        <f ca="1">IFERROR(__xludf.DUMMYFUNCTION("""COMPUTED_VALUE"""),"31719")</f>
        <v>31719</v>
      </c>
      <c r="N59" s="8" t="str">
        <f ca="1">IFERROR(__xludf.DUMMYFUNCTION("""COMPUTED_VALUE"""),"ISU Speed Skating Junior World Cup #3")</f>
        <v>ISU Speed Skating Junior World Cup #3</v>
      </c>
      <c r="O59" s="8" t="str">
        <f ca="1">IFERROR(__xludf.DUMMYFUNCTION("""COMPUTED_VALUE"""),"2026-02-21")</f>
        <v>2026-02-21</v>
      </c>
      <c r="P59" s="8" t="str">
        <f ca="1">IFERROR(__xludf.DUMMYFUNCTION("""COMPUTED_VALUE"""),"2026-02-22")</f>
        <v>2026-02-22</v>
      </c>
      <c r="Q59" s="8" t="str">
        <f ca="1">IFERROR(__xludf.DUMMYFUNCTION("""COMPUTED_VALUE"""),"Inzell (GER)")</f>
        <v>Inzell (GER)</v>
      </c>
      <c r="R59" s="8" t="str">
        <f ca="1">IFERROR(__xludf.DUMMYFUNCTION("""COMPUTED_VALUE"""),"11")</f>
        <v>11</v>
      </c>
      <c r="S59" s="18" t="str">
        <f ca="1">IFERROR(__xludf.DUMMYFUNCTION("""COMPUTED_VALUE"""),"http://speedskatingresults.com/index.php?p=2&amp;e=31719&amp;s=83279")</f>
        <v>http://speedskatingresults.com/index.php?p=2&amp;e=31719&amp;s=83279</v>
      </c>
      <c r="T59" s="7"/>
      <c r="U59" s="7"/>
      <c r="V59" s="7"/>
      <c r="W59" s="7"/>
      <c r="X59" s="7"/>
      <c r="Y59" s="7"/>
      <c r="Z59" s="7"/>
      <c r="AA59" s="7"/>
    </row>
    <row r="60" spans="1:27">
      <c r="A60" s="7"/>
      <c r="B60" s="7"/>
      <c r="C60" s="2" t="e">
        <f>#REF!</f>
        <v>#REF!</v>
      </c>
      <c r="D60" s="1" t="e">
        <f>#REF!</f>
        <v>#REF!</v>
      </c>
      <c r="E60" s="15" t="e">
        <f t="shared" si="0"/>
        <v>#REF!</v>
      </c>
      <c r="F60" s="8" t="str">
        <f t="shared" si="1"/>
        <v xml:space="preserve"> </v>
      </c>
      <c r="G60" s="12" t="str">
        <f t="array" ref="G60">IF(ISBLANK(N60)," ",_xlfn.XLOOKUP(D60,#REF!,#REF!))</f>
        <v xml:space="preserve"> </v>
      </c>
      <c r="H60" s="13">
        <f t="shared" si="2"/>
        <v>0</v>
      </c>
      <c r="I60" s="8" t="str">
        <f t="array" ref="I60">IF(ISBLANK(K60)," ",_xlfn.XLOOKUP(D60,#REF!,#REF!))</f>
        <v xml:space="preserve"> </v>
      </c>
      <c r="J60" s="8" t="str">
        <f t="array" ref="J60">IF(ISBLANK(N60)," ",_xlfn.XLOOKUP(F60,Edades!$A$2:$A$101,IF(I60="F",Edades!$B$2:$B$101,Edades!$C$2:$C$101)))</f>
        <v xml:space="preserve"> </v>
      </c>
      <c r="K60" s="8"/>
      <c r="L60" s="8"/>
      <c r="M60" s="13"/>
      <c r="N60" s="8"/>
      <c r="O60" s="8"/>
      <c r="P60" s="8"/>
      <c r="Q60" s="8"/>
      <c r="R60" s="8"/>
      <c r="S60" s="8"/>
      <c r="T60" s="7"/>
      <c r="U60" s="7"/>
      <c r="V60" s="7"/>
      <c r="W60" s="7"/>
      <c r="X60" s="7"/>
      <c r="Y60" s="7"/>
      <c r="Z60" s="7"/>
      <c r="AA60" s="7"/>
    </row>
    <row r="61" spans="1:27">
      <c r="A61" s="7"/>
      <c r="B61" s="7"/>
      <c r="C61" s="2" t="e">
        <f>#REF!</f>
        <v>#REF!</v>
      </c>
      <c r="D61" s="1" t="e">
        <f>#REF!</f>
        <v>#REF!</v>
      </c>
      <c r="E61" s="15" t="e">
        <f t="shared" si="0"/>
        <v>#REF!</v>
      </c>
      <c r="F61" s="8" t="str">
        <f t="shared" si="1"/>
        <v xml:space="preserve"> </v>
      </c>
      <c r="G61" s="12" t="str">
        <f t="array" ref="G61">IF(ISBLANK(N61)," ",_xlfn.XLOOKUP(D61,#REF!,#REF!))</f>
        <v xml:space="preserve"> </v>
      </c>
      <c r="H61" s="13">
        <f t="shared" si="2"/>
        <v>0</v>
      </c>
      <c r="I61" s="8" t="str">
        <f t="array" ref="I61">IF(ISBLANK(K61)," ",_xlfn.XLOOKUP(D61,#REF!,#REF!))</f>
        <v xml:space="preserve"> </v>
      </c>
      <c r="J61" s="8" t="str">
        <f t="array" ref="J61">IF(ISBLANK(N61)," ",_xlfn.XLOOKUP(F61,Edades!$A$2:$A$101,IF(I61="F",Edades!$B$2:$B$101,Edades!$C$2:$C$101)))</f>
        <v xml:space="preserve"> </v>
      </c>
      <c r="K61" s="8"/>
      <c r="L61" s="8"/>
      <c r="M61" s="13"/>
      <c r="N61" s="8"/>
      <c r="O61" s="8"/>
      <c r="P61" s="8"/>
      <c r="Q61" s="8"/>
      <c r="R61" s="8"/>
      <c r="S61" s="8"/>
      <c r="T61" s="7"/>
      <c r="U61" s="7"/>
      <c r="V61" s="7"/>
      <c r="W61" s="7"/>
      <c r="X61" s="7"/>
      <c r="Y61" s="7"/>
      <c r="Z61" s="7"/>
      <c r="AA61" s="7"/>
    </row>
    <row r="62" spans="1:27">
      <c r="A62" s="7"/>
      <c r="B62" s="7"/>
      <c r="C62" s="2" t="e">
        <f>#REF!</f>
        <v>#REF!</v>
      </c>
      <c r="D62" s="1" t="e">
        <f>#REF!</f>
        <v>#REF!</v>
      </c>
      <c r="E62" s="15" t="e">
        <f t="shared" si="0"/>
        <v>#REF!</v>
      </c>
      <c r="F62" s="8" t="e">
        <f t="shared" ca="1" si="1"/>
        <v>#NAME?</v>
      </c>
      <c r="G62" s="12" t="e">
        <f t="array" aca="1" ref="G62" ca="1">IF(ISBLANK(N62)," ",_xlfn.XLOOKUP(D62,#REF!,#REF!))</f>
        <v>#NAME?</v>
      </c>
      <c r="H62" s="13" t="str">
        <f t="shared" ca="1" si="2"/>
        <v>2026-02-27</v>
      </c>
      <c r="I62" s="8" t="e">
        <f t="array" aca="1" ref="I62" ca="1">IF(ISBLANK(K62)," ",_xlfn.XLOOKUP(D62,#REF!,#REF!))</f>
        <v>#NAME?</v>
      </c>
      <c r="J62" s="8" t="e">
        <f t="array" aca="1" ref="J62" ca="1">IF(ISBLANK(N62)," ",_xlfn.XLOOKUP(F62,Edades!$A$2:$A$101,IF(I62="F",Edades!$B$2:$B$101,Edades!$C$2:$C$101)))</f>
        <v>#NAME?</v>
      </c>
      <c r="K62" s="8" t="str">
        <f ca="1">IFERROR(__xludf.DUMMYFUNCTION("index(query(importjson(E62)),2,)"),"79811")</f>
        <v>79811</v>
      </c>
      <c r="L62" s="8" t="str">
        <f ca="1">IFERROR(__xludf.DUMMYFUNCTION("""COMPUTED_VALUE"""),"2025")</f>
        <v>2025</v>
      </c>
      <c r="M62" s="13" t="str">
        <f ca="1">IFERROR(__xludf.DUMMYFUNCTION("""COMPUTED_VALUE"""),"31773")</f>
        <v>31773</v>
      </c>
      <c r="N62" s="8" t="str">
        <f ca="1">IFERROR(__xludf.DUMMYFUNCTION("""COMPUTED_VALUE"""),"ISU Junior World Championships 2026")</f>
        <v>ISU Junior World Championships 2026</v>
      </c>
      <c r="O62" s="8" t="str">
        <f ca="1">IFERROR(__xludf.DUMMYFUNCTION("""COMPUTED_VALUE"""),"2026-02-27")</f>
        <v>2026-02-27</v>
      </c>
      <c r="P62" s="8" t="str">
        <f ca="1">IFERROR(__xludf.DUMMYFUNCTION("""COMPUTED_VALUE"""),"2026-03-01")</f>
        <v>2026-03-01</v>
      </c>
      <c r="Q62" s="8" t="str">
        <f ca="1">IFERROR(__xludf.DUMMYFUNCTION("""COMPUTED_VALUE"""),"Inzell (GER)")</f>
        <v>Inzell (GER)</v>
      </c>
      <c r="R62" s="8" t="str">
        <f ca="1">IFERROR(__xludf.DUMMYFUNCTION("""COMPUTED_VALUE"""),"11")</f>
        <v>11</v>
      </c>
      <c r="S62" s="18" t="str">
        <f ca="1">IFERROR(__xludf.DUMMYFUNCTION("""COMPUTED_VALUE"""),"http://speedskatingresults.com/index.php?p=2&amp;e=31773&amp;s=79811")</f>
        <v>http://speedskatingresults.com/index.php?p=2&amp;e=31773&amp;s=79811</v>
      </c>
      <c r="T62" s="7"/>
      <c r="U62" s="7"/>
      <c r="V62" s="7"/>
      <c r="W62" s="7"/>
      <c r="X62" s="7"/>
      <c r="Y62" s="7"/>
      <c r="Z62" s="7"/>
      <c r="AA62" s="7"/>
    </row>
    <row r="63" spans="1:27">
      <c r="A63" s="7"/>
      <c r="B63" s="7"/>
      <c r="C63" s="2" t="e">
        <f>#REF!</f>
        <v>#REF!</v>
      </c>
      <c r="D63" s="1" t="e">
        <f>#REF!</f>
        <v>#REF!</v>
      </c>
      <c r="E63" s="15" t="e">
        <f t="shared" si="0"/>
        <v>#REF!</v>
      </c>
      <c r="F63" s="8" t="str">
        <f t="shared" si="1"/>
        <v xml:space="preserve"> </v>
      </c>
      <c r="G63" s="12" t="str">
        <f t="array" ref="G63">IF(ISBLANK(N63)," ",_xlfn.XLOOKUP(D63,#REF!,#REF!))</f>
        <v xml:space="preserve"> </v>
      </c>
      <c r="H63" s="13">
        <f t="shared" si="2"/>
        <v>0</v>
      </c>
      <c r="I63" s="8" t="str">
        <f t="array" ref="I63">IF(ISBLANK(K63)," ",_xlfn.XLOOKUP(D63,#REF!,#REF!))</f>
        <v xml:space="preserve"> </v>
      </c>
      <c r="J63" s="8" t="str">
        <f t="array" ref="J63">IF(ISBLANK(N63)," ",_xlfn.XLOOKUP(F63,Edades!$A$2:$A$101,IF(I63="F",Edades!$B$2:$B$101,Edades!$C$2:$C$101)))</f>
        <v xml:space="preserve"> </v>
      </c>
      <c r="K63" s="8"/>
      <c r="L63" s="8"/>
      <c r="M63" s="13"/>
      <c r="N63" s="8"/>
      <c r="O63" s="8"/>
      <c r="P63" s="8"/>
      <c r="Q63" s="8"/>
      <c r="R63" s="8"/>
      <c r="S63" s="8"/>
      <c r="T63" s="7"/>
      <c r="U63" s="7"/>
      <c r="V63" s="7"/>
      <c r="W63" s="7"/>
      <c r="X63" s="7"/>
      <c r="Y63" s="7"/>
      <c r="Z63" s="7"/>
      <c r="AA63" s="7"/>
    </row>
    <row r="64" spans="1:27">
      <c r="A64" s="7"/>
      <c r="B64" s="7"/>
      <c r="C64" s="2" t="e">
        <f>#REF!</f>
        <v>#REF!</v>
      </c>
      <c r="D64" s="1" t="e">
        <f>#REF!</f>
        <v>#REF!</v>
      </c>
      <c r="E64" s="15" t="e">
        <f t="shared" si="0"/>
        <v>#REF!</v>
      </c>
      <c r="F64" s="8" t="str">
        <f t="shared" si="1"/>
        <v xml:space="preserve"> </v>
      </c>
      <c r="G64" s="12" t="str">
        <f t="array" ref="G64">IF(ISBLANK(N64)," ",_xlfn.XLOOKUP(D64,#REF!,#REF!))</f>
        <v xml:space="preserve"> </v>
      </c>
      <c r="H64" s="13">
        <f t="shared" si="2"/>
        <v>0</v>
      </c>
      <c r="I64" s="8" t="str">
        <f t="array" ref="I64">IF(ISBLANK(K64)," ",_xlfn.XLOOKUP(D64,#REF!,#REF!))</f>
        <v xml:space="preserve"> </v>
      </c>
      <c r="J64" s="8" t="str">
        <f t="array" ref="J64">IF(ISBLANK(N64)," ",_xlfn.XLOOKUP(F64,Edades!$A$2:$A$101,IF(I64="F",Edades!$B$2:$B$101,Edades!$C$2:$C$101)))</f>
        <v xml:space="preserve"> </v>
      </c>
      <c r="K64" s="8"/>
      <c r="L64" s="8"/>
      <c r="M64" s="13"/>
      <c r="N64" s="8"/>
      <c r="O64" s="8"/>
      <c r="P64" s="8"/>
      <c r="Q64" s="8"/>
      <c r="R64" s="8"/>
      <c r="S64" s="8"/>
      <c r="T64" s="7"/>
      <c r="U64" s="7"/>
      <c r="V64" s="7"/>
      <c r="W64" s="7"/>
      <c r="X64" s="7"/>
      <c r="Y64" s="7"/>
      <c r="Z64" s="7"/>
      <c r="AA64" s="7"/>
    </row>
    <row r="65" spans="1:27">
      <c r="A65" s="7"/>
      <c r="B65" s="7"/>
      <c r="C65" s="2" t="e">
        <f>#REF!</f>
        <v>#REF!</v>
      </c>
      <c r="D65" s="1" t="e">
        <f>#REF!</f>
        <v>#REF!</v>
      </c>
      <c r="E65" s="15" t="e">
        <f t="shared" si="0"/>
        <v>#REF!</v>
      </c>
      <c r="F65" s="8" t="str">
        <f t="shared" si="1"/>
        <v xml:space="preserve"> </v>
      </c>
      <c r="G65" s="12" t="str">
        <f t="array" ref="G65">IF(ISBLANK(N65)," ",_xlfn.XLOOKUP(D65,#REF!,#REF!))</f>
        <v xml:space="preserve"> </v>
      </c>
      <c r="H65" s="13">
        <f t="shared" si="2"/>
        <v>0</v>
      </c>
      <c r="I65" s="8" t="str">
        <f t="array" ref="I65">IF(ISBLANK(K65)," ",_xlfn.XLOOKUP(D65,#REF!,#REF!))</f>
        <v xml:space="preserve"> </v>
      </c>
      <c r="J65" s="8" t="str">
        <f t="array" ref="J65">IF(ISBLANK(N65)," ",_xlfn.XLOOKUP(F65,Edades!$A$2:$A$101,IF(I65="F",Edades!$B$2:$B$101,Edades!$C$2:$C$101)))</f>
        <v xml:space="preserve"> </v>
      </c>
      <c r="K65" s="8"/>
      <c r="L65" s="8"/>
      <c r="M65" s="13"/>
      <c r="N65" s="8"/>
      <c r="O65" s="8"/>
      <c r="P65" s="8"/>
      <c r="Q65" s="8"/>
      <c r="R65" s="8"/>
      <c r="S65" s="8"/>
      <c r="T65" s="7"/>
      <c r="U65" s="7"/>
      <c r="V65" s="7"/>
      <c r="W65" s="7"/>
      <c r="X65" s="7"/>
      <c r="Y65" s="7"/>
      <c r="Z65" s="7"/>
      <c r="AA65" s="7"/>
    </row>
    <row r="66" spans="1:27">
      <c r="A66" s="7"/>
      <c r="B66" s="7"/>
      <c r="C66" s="2" t="e">
        <f>#REF!</f>
        <v>#REF!</v>
      </c>
      <c r="D66" s="1" t="e">
        <f>#REF!</f>
        <v>#REF!</v>
      </c>
      <c r="E66" s="15" t="e">
        <f t="shared" si="0"/>
        <v>#REF!</v>
      </c>
      <c r="F66" s="8" t="e">
        <f t="shared" ca="1" si="1"/>
        <v>#NAME?</v>
      </c>
      <c r="G66" s="12" t="e">
        <f t="array" aca="1" ref="G66" ca="1">IF(ISBLANK(N66)," ",_xlfn.XLOOKUP(D66,#REF!,#REF!))</f>
        <v>#NAME?</v>
      </c>
      <c r="H66" s="13" t="str">
        <f t="shared" ca="1" si="2"/>
        <v>2026-02-27</v>
      </c>
      <c r="I66" s="8" t="e">
        <f t="array" aca="1" ref="I66" ca="1">IF(ISBLANK(K66)," ",_xlfn.XLOOKUP(D66,#REF!,#REF!))</f>
        <v>#NAME?</v>
      </c>
      <c r="J66" s="8" t="e">
        <f t="array" aca="1" ref="J66" ca="1">IF(ISBLANK(N66)," ",_xlfn.XLOOKUP(F66,Edades!$A$2:$A$101,IF(I66="F",Edades!$B$2:$B$101,Edades!$C$2:$C$101)))</f>
        <v>#NAME?</v>
      </c>
      <c r="K66" s="8" t="str">
        <f ca="1">IFERROR(__xludf.DUMMYFUNCTION("index(query(importjson(E66)),2,)"),"79814")</f>
        <v>79814</v>
      </c>
      <c r="L66" s="8" t="str">
        <f ca="1">IFERROR(__xludf.DUMMYFUNCTION("""COMPUTED_VALUE"""),"2025")</f>
        <v>2025</v>
      </c>
      <c r="M66" s="13" t="str">
        <f ca="1">IFERROR(__xludf.DUMMYFUNCTION("""COMPUTED_VALUE"""),"31773")</f>
        <v>31773</v>
      </c>
      <c r="N66" s="8" t="str">
        <f ca="1">IFERROR(__xludf.DUMMYFUNCTION("""COMPUTED_VALUE"""),"ISU Junior World Championships 2026")</f>
        <v>ISU Junior World Championships 2026</v>
      </c>
      <c r="O66" s="8" t="str">
        <f ca="1">IFERROR(__xludf.DUMMYFUNCTION("""COMPUTED_VALUE"""),"2026-02-27")</f>
        <v>2026-02-27</v>
      </c>
      <c r="P66" s="8" t="str">
        <f ca="1">IFERROR(__xludf.DUMMYFUNCTION("""COMPUTED_VALUE"""),"2026-03-01")</f>
        <v>2026-03-01</v>
      </c>
      <c r="Q66" s="8" t="str">
        <f ca="1">IFERROR(__xludf.DUMMYFUNCTION("""COMPUTED_VALUE"""),"Inzell (GER)")</f>
        <v>Inzell (GER)</v>
      </c>
      <c r="R66" s="8" t="str">
        <f ca="1">IFERROR(__xludf.DUMMYFUNCTION("""COMPUTED_VALUE"""),"11")</f>
        <v>11</v>
      </c>
      <c r="S66" s="18" t="str">
        <f ca="1">IFERROR(__xludf.DUMMYFUNCTION("""COMPUTED_VALUE"""),"http://speedskatingresults.com/index.php?p=2&amp;e=31773&amp;s=79814")</f>
        <v>http://speedskatingresults.com/index.php?p=2&amp;e=31773&amp;s=79814</v>
      </c>
      <c r="T66" s="7"/>
      <c r="U66" s="7"/>
      <c r="V66" s="7"/>
      <c r="W66" s="7"/>
      <c r="X66" s="7"/>
      <c r="Y66" s="7"/>
      <c r="Z66" s="7"/>
      <c r="AA66" s="7"/>
    </row>
    <row r="67" spans="1:27">
      <c r="A67" s="7"/>
      <c r="B67" s="7"/>
      <c r="C67" s="2" t="e">
        <f>#REF!</f>
        <v>#REF!</v>
      </c>
      <c r="D67" s="1" t="e">
        <f>#REF!</f>
        <v>#REF!</v>
      </c>
      <c r="E67" s="15" t="e">
        <f t="shared" si="0"/>
        <v>#REF!</v>
      </c>
      <c r="F67" s="8" t="str">
        <f t="shared" si="1"/>
        <v xml:space="preserve"> </v>
      </c>
      <c r="G67" s="12" t="str">
        <f t="array" ref="G67">IF(ISBLANK(N67)," ",_xlfn.XLOOKUP(D67,#REF!,#REF!))</f>
        <v xml:space="preserve"> </v>
      </c>
      <c r="H67" s="13">
        <f t="shared" si="2"/>
        <v>0</v>
      </c>
      <c r="I67" s="8" t="str">
        <f t="array" ref="I67">IF(ISBLANK(K67)," ",_xlfn.XLOOKUP(D67,#REF!,#REF!))</f>
        <v xml:space="preserve"> </v>
      </c>
      <c r="J67" s="8" t="str">
        <f t="array" ref="J67">IF(ISBLANK(N67)," ",_xlfn.XLOOKUP(F67,Edades!$A$2:$A$101,IF(I67="F",Edades!$B$2:$B$101,Edades!$C$2:$C$101)))</f>
        <v xml:space="preserve"> </v>
      </c>
      <c r="K67" s="8"/>
      <c r="L67" s="8"/>
      <c r="M67" s="13"/>
      <c r="N67" s="8"/>
      <c r="O67" s="8"/>
      <c r="P67" s="8"/>
      <c r="Q67" s="8"/>
      <c r="R67" s="8"/>
      <c r="S67" s="8"/>
      <c r="T67" s="7"/>
      <c r="U67" s="7"/>
      <c r="V67" s="7"/>
      <c r="W67" s="7"/>
      <c r="X67" s="7"/>
      <c r="Y67" s="7"/>
      <c r="Z67" s="7"/>
      <c r="AA67" s="7"/>
    </row>
    <row r="68" spans="1:27">
      <c r="A68" s="7"/>
      <c r="B68" s="7"/>
      <c r="C68" s="2" t="e">
        <f>#REF!</f>
        <v>#REF!</v>
      </c>
      <c r="D68" s="1" t="e">
        <f>#REF!</f>
        <v>#REF!</v>
      </c>
      <c r="E68" s="15" t="e">
        <f t="shared" si="0"/>
        <v>#REF!</v>
      </c>
      <c r="F68" s="8" t="e">
        <f t="shared" ca="1" si="1"/>
        <v>#NAME?</v>
      </c>
      <c r="G68" s="12" t="e">
        <f t="array" aca="1" ref="G68" ca="1">IF(ISBLANK(N68)," ",_xlfn.XLOOKUP(D68,#REF!,#REF!))</f>
        <v>#NAME?</v>
      </c>
      <c r="H68" s="13" t="str">
        <f t="shared" ca="1" si="2"/>
        <v>2026-02-27</v>
      </c>
      <c r="I68" s="8" t="e">
        <f t="array" aca="1" ref="I68" ca="1">IF(ISBLANK(K68)," ",_xlfn.XLOOKUP(D68,#REF!,#REF!))</f>
        <v>#NAME?</v>
      </c>
      <c r="J68" s="8" t="e">
        <f t="array" aca="1" ref="J68" ca="1">IF(ISBLANK(N68)," ",_xlfn.XLOOKUP(F68,Edades!$A$2:$A$101,IF(I68="F",Edades!$B$2:$B$101,Edades!$C$2:$C$101)))</f>
        <v>#NAME?</v>
      </c>
      <c r="K68" s="8" t="str">
        <f ca="1">IFERROR(__xludf.DUMMYFUNCTION("index(query(importjson(E68)),2,)"),"106985")</f>
        <v>106985</v>
      </c>
      <c r="L68" s="8" t="str">
        <f ca="1">IFERROR(__xludf.DUMMYFUNCTION("""COMPUTED_VALUE"""),"2025")</f>
        <v>2025</v>
      </c>
      <c r="M68" s="13" t="str">
        <f ca="1">IFERROR(__xludf.DUMMYFUNCTION("""COMPUTED_VALUE"""),"31773")</f>
        <v>31773</v>
      </c>
      <c r="N68" s="8" t="str">
        <f ca="1">IFERROR(__xludf.DUMMYFUNCTION("""COMPUTED_VALUE"""),"ISU Junior World Championships 2026")</f>
        <v>ISU Junior World Championships 2026</v>
      </c>
      <c r="O68" s="8" t="str">
        <f ca="1">IFERROR(__xludf.DUMMYFUNCTION("""COMPUTED_VALUE"""),"2026-02-27")</f>
        <v>2026-02-27</v>
      </c>
      <c r="P68" s="8" t="str">
        <f ca="1">IFERROR(__xludf.DUMMYFUNCTION("""COMPUTED_VALUE"""),"2026-03-01")</f>
        <v>2026-03-01</v>
      </c>
      <c r="Q68" s="8" t="str">
        <f ca="1">IFERROR(__xludf.DUMMYFUNCTION("""COMPUTED_VALUE"""),"Inzell (GER)")</f>
        <v>Inzell (GER)</v>
      </c>
      <c r="R68" s="8" t="str">
        <f ca="1">IFERROR(__xludf.DUMMYFUNCTION("""COMPUTED_VALUE"""),"11")</f>
        <v>11</v>
      </c>
      <c r="S68" s="18" t="str">
        <f ca="1">IFERROR(__xludf.DUMMYFUNCTION("""COMPUTED_VALUE"""),"http://speedskatingresults.com/index.php?p=2&amp;e=31773&amp;s=106985")</f>
        <v>http://speedskatingresults.com/index.php?p=2&amp;e=31773&amp;s=106985</v>
      </c>
      <c r="T68" s="7"/>
      <c r="U68" s="7"/>
      <c r="V68" s="7"/>
      <c r="W68" s="7"/>
      <c r="X68" s="7"/>
      <c r="Y68" s="7"/>
      <c r="Z68" s="7"/>
      <c r="AA68" s="7"/>
    </row>
    <row r="69" spans="1:27">
      <c r="A69" s="7"/>
      <c r="B69" s="7"/>
      <c r="C69" s="2" t="e">
        <f>#REF!</f>
        <v>#REF!</v>
      </c>
      <c r="D69" s="1" t="e">
        <f>#REF!</f>
        <v>#REF!</v>
      </c>
      <c r="E69" s="15" t="e">
        <f t="shared" si="0"/>
        <v>#REF!</v>
      </c>
      <c r="F69" s="8" t="str">
        <f t="shared" si="1"/>
        <v xml:space="preserve"> </v>
      </c>
      <c r="G69" s="12" t="str">
        <f t="array" ref="G69">IF(ISBLANK(N69)," ",_xlfn.XLOOKUP(D69,#REF!,#REF!))</f>
        <v xml:space="preserve"> </v>
      </c>
      <c r="H69" s="13">
        <f t="shared" si="2"/>
        <v>0</v>
      </c>
      <c r="I69" s="8" t="str">
        <f t="array" ref="I69">IF(ISBLANK(K69)," ",_xlfn.XLOOKUP(D69,#REF!,#REF!))</f>
        <v xml:space="preserve"> </v>
      </c>
      <c r="J69" s="8" t="str">
        <f t="array" ref="J69">IF(ISBLANK(N69)," ",_xlfn.XLOOKUP(F69,Edades!$A$2:$A$101,IF(I69="F",Edades!$B$2:$B$101,Edades!$C$2:$C$101)))</f>
        <v xml:space="preserve"> </v>
      </c>
      <c r="K69" s="8"/>
      <c r="L69" s="8"/>
      <c r="M69" s="13"/>
      <c r="N69" s="8"/>
      <c r="O69" s="8"/>
      <c r="P69" s="8"/>
      <c r="Q69" s="8"/>
      <c r="R69" s="8"/>
      <c r="S69" s="8"/>
      <c r="T69" s="7"/>
      <c r="U69" s="7"/>
      <c r="V69" s="7"/>
      <c r="W69" s="7"/>
      <c r="X69" s="7"/>
      <c r="Y69" s="7"/>
      <c r="Z69" s="7"/>
      <c r="AA69" s="7"/>
    </row>
    <row r="70" spans="1:27">
      <c r="A70" s="7"/>
      <c r="B70" s="7"/>
      <c r="C70" s="2" t="e">
        <f>#REF!</f>
        <v>#REF!</v>
      </c>
      <c r="D70" s="1" t="e">
        <f>#REF!</f>
        <v>#REF!</v>
      </c>
      <c r="E70" s="15" t="e">
        <f t="shared" si="0"/>
        <v>#REF!</v>
      </c>
      <c r="F70" s="8" t="str">
        <f t="shared" si="1"/>
        <v xml:space="preserve"> </v>
      </c>
      <c r="G70" s="12" t="str">
        <f t="array" ref="G70">IF(ISBLANK(N70)," ",_xlfn.XLOOKUP(D70,#REF!,#REF!))</f>
        <v xml:space="preserve"> </v>
      </c>
      <c r="H70" s="13">
        <f t="shared" si="2"/>
        <v>0</v>
      </c>
      <c r="I70" s="8" t="str">
        <f t="array" ref="I70">IF(ISBLANK(K70)," ",_xlfn.XLOOKUP(D70,#REF!,#REF!))</f>
        <v xml:space="preserve"> </v>
      </c>
      <c r="J70" s="8" t="str">
        <f t="array" ref="J70">IF(ISBLANK(N70)," ",_xlfn.XLOOKUP(F70,Edades!$A$2:$A$101,IF(I70="F",Edades!$B$2:$B$101,Edades!$C$2:$C$101)))</f>
        <v xml:space="preserve"> </v>
      </c>
      <c r="K70" s="8"/>
      <c r="L70" s="8"/>
      <c r="M70" s="13"/>
      <c r="N70" s="8"/>
      <c r="O70" s="8"/>
      <c r="P70" s="8"/>
      <c r="Q70" s="8"/>
      <c r="R70" s="8"/>
      <c r="S70" s="8"/>
      <c r="T70" s="7"/>
      <c r="U70" s="7"/>
      <c r="V70" s="7"/>
      <c r="W70" s="7"/>
      <c r="X70" s="7"/>
      <c r="Y70" s="7"/>
      <c r="Z70" s="7"/>
      <c r="AA70" s="7"/>
    </row>
    <row r="71" spans="1:27">
      <c r="A71" s="7"/>
      <c r="B71" s="7"/>
      <c r="C71" s="2" t="e">
        <f>#REF!</f>
        <v>#REF!</v>
      </c>
      <c r="D71" s="1" t="e">
        <f>#REF!</f>
        <v>#REF!</v>
      </c>
      <c r="E71" s="15" t="e">
        <f t="shared" si="0"/>
        <v>#REF!</v>
      </c>
      <c r="F71" s="8" t="str">
        <f t="shared" si="1"/>
        <v xml:space="preserve"> </v>
      </c>
      <c r="G71" s="12" t="str">
        <f t="array" ref="G71">IF(ISBLANK(N71)," ",_xlfn.XLOOKUP(D71,#REF!,#REF!))</f>
        <v xml:space="preserve"> </v>
      </c>
      <c r="H71" s="13">
        <f t="shared" si="2"/>
        <v>0</v>
      </c>
      <c r="I71" s="8" t="str">
        <f t="array" ref="I71">IF(ISBLANK(K71)," ",_xlfn.XLOOKUP(D71,#REF!,#REF!))</f>
        <v xml:space="preserve"> </v>
      </c>
      <c r="J71" s="8" t="str">
        <f t="array" ref="J71">IF(ISBLANK(N71)," ",_xlfn.XLOOKUP(F71,Edades!$A$2:$A$101,IF(I71="F",Edades!$B$2:$B$101,Edades!$C$2:$C$101)))</f>
        <v xml:space="preserve"> </v>
      </c>
      <c r="K71" s="8"/>
      <c r="L71" s="8"/>
      <c r="M71" s="13"/>
      <c r="N71" s="8"/>
      <c r="O71" s="8"/>
      <c r="P71" s="8"/>
      <c r="Q71" s="8"/>
      <c r="R71" s="8"/>
      <c r="S71" s="8"/>
      <c r="T71" s="7"/>
      <c r="U71" s="7"/>
      <c r="V71" s="7"/>
      <c r="W71" s="7"/>
      <c r="X71" s="7"/>
      <c r="Y71" s="7"/>
      <c r="Z71" s="7"/>
      <c r="AA71" s="7"/>
    </row>
    <row r="72" spans="1:27">
      <c r="A72" s="7"/>
      <c r="B72" s="7"/>
      <c r="C72" s="2" t="e">
        <f>#REF!</f>
        <v>#REF!</v>
      </c>
      <c r="D72" s="1" t="e">
        <f>#REF!</f>
        <v>#REF!</v>
      </c>
      <c r="E72" s="15" t="e">
        <f t="shared" si="0"/>
        <v>#REF!</v>
      </c>
      <c r="F72" s="8" t="str">
        <f t="shared" si="1"/>
        <v xml:space="preserve"> </v>
      </c>
      <c r="G72" s="12" t="str">
        <f t="array" ref="G72">IF(ISBLANK(N72)," ",_xlfn.XLOOKUP(D72,#REF!,#REF!))</f>
        <v xml:space="preserve"> </v>
      </c>
      <c r="H72" s="13">
        <f t="shared" si="2"/>
        <v>0</v>
      </c>
      <c r="I72" s="8" t="str">
        <f t="array" ref="I72">IF(ISBLANK(K72)," ",_xlfn.XLOOKUP(D72,#REF!,#REF!))</f>
        <v xml:space="preserve"> </v>
      </c>
      <c r="J72" s="8" t="str">
        <f t="array" ref="J72">IF(ISBLANK(N72)," ",_xlfn.XLOOKUP(F72,Edades!$A$2:$A$101,IF(I72="F",Edades!$B$2:$B$101,Edades!$C$2:$C$101)))</f>
        <v xml:space="preserve"> </v>
      </c>
      <c r="K72" s="8"/>
      <c r="L72" s="8"/>
      <c r="M72" s="13"/>
      <c r="N72" s="8"/>
      <c r="O72" s="8"/>
      <c r="P72" s="8"/>
      <c r="Q72" s="8"/>
      <c r="R72" s="8"/>
      <c r="S72" s="8"/>
      <c r="T72" s="7"/>
      <c r="U72" s="7"/>
      <c r="V72" s="7"/>
      <c r="W72" s="7"/>
      <c r="X72" s="7"/>
      <c r="Y72" s="7"/>
      <c r="Z72" s="7"/>
      <c r="AA72" s="7"/>
    </row>
    <row r="73" spans="1:27">
      <c r="A73" s="7"/>
      <c r="B73" s="7"/>
      <c r="C73" s="2" t="e">
        <f>#REF!</f>
        <v>#REF!</v>
      </c>
      <c r="D73" s="1" t="e">
        <f>#REF!</f>
        <v>#REF!</v>
      </c>
      <c r="E73" s="15" t="e">
        <f t="shared" si="0"/>
        <v>#REF!</v>
      </c>
      <c r="F73" s="8" t="e">
        <f t="shared" ca="1" si="1"/>
        <v>#NAME?</v>
      </c>
      <c r="G73" s="12" t="e">
        <f t="array" aca="1" ref="G73" ca="1">IF(ISBLANK(N73)," ",_xlfn.XLOOKUP(D73,#REF!,#REF!))</f>
        <v>#NAME?</v>
      </c>
      <c r="H73" s="13" t="str">
        <f t="shared" ca="1" si="2"/>
        <v>2025-12-06</v>
      </c>
      <c r="I73" s="8" t="e">
        <f t="array" aca="1" ref="I73" ca="1">IF(ISBLANK(K73)," ",_xlfn.XLOOKUP(D73,#REF!,#REF!))</f>
        <v>#NAME?</v>
      </c>
      <c r="J73" s="8" t="e">
        <f t="array" aca="1" ref="J73" ca="1">IF(ISBLANK(N73)," ",_xlfn.XLOOKUP(F73,Edades!$A$2:$A$101,IF(I73="F",Edades!$B$2:$B$101,Edades!$C$2:$C$101)))</f>
        <v>#NAME?</v>
      </c>
      <c r="K73" s="8" t="str">
        <f ca="1">IFERROR(__xludf.DUMMYFUNCTION("index(query(importjson(E73)),2,)"),"83554")</f>
        <v>83554</v>
      </c>
      <c r="L73" s="8" t="str">
        <f ca="1">IFERROR(__xludf.DUMMYFUNCTION("""COMPUTED_VALUE"""),"2025")</f>
        <v>2025</v>
      </c>
      <c r="M73" s="13" t="str">
        <f ca="1">IFERROR(__xludf.DUMMYFUNCTION("""COMPUTED_VALUE"""),"30908")</f>
        <v>30908</v>
      </c>
      <c r="N73" s="8" t="str">
        <f ca="1">IFERROR(__xludf.DUMMYFUNCTION("""COMPUTED_VALUE"""),"ISU Speed Skating Junior World Cup #2")</f>
        <v>ISU Speed Skating Junior World Cup #2</v>
      </c>
      <c r="O73" s="8" t="str">
        <f ca="1">IFERROR(__xludf.DUMMYFUNCTION("""COMPUTED_VALUE"""),"2025-12-06")</f>
        <v>2025-12-06</v>
      </c>
      <c r="P73" s="8" t="str">
        <f ca="1">IFERROR(__xludf.DUMMYFUNCTION("""COMPUTED_VALUE"""),"2025-12-07")</f>
        <v>2025-12-07</v>
      </c>
      <c r="Q73" s="8" t="str">
        <f ca="1">IFERROR(__xludf.DUMMYFUNCTION("""COMPUTED_VALUE"""),"Collalbo (ITA)")</f>
        <v>Collalbo (ITA)</v>
      </c>
      <c r="R73" s="8" t="str">
        <f ca="1">IFERROR(__xludf.DUMMYFUNCTION("""COMPUTED_VALUE"""),"10")</f>
        <v>10</v>
      </c>
      <c r="S73" s="18" t="str">
        <f ca="1">IFERROR(__xludf.DUMMYFUNCTION("""COMPUTED_VALUE"""),"http://speedskatingresults.com/index.php?p=2&amp;e=30908&amp;s=83554")</f>
        <v>http://speedskatingresults.com/index.php?p=2&amp;e=30908&amp;s=83554</v>
      </c>
      <c r="T73" s="7"/>
      <c r="U73" s="7"/>
      <c r="V73" s="7"/>
      <c r="W73" s="7"/>
      <c r="X73" s="7"/>
      <c r="Y73" s="7"/>
      <c r="Z73" s="7"/>
      <c r="AA73" s="7"/>
    </row>
    <row r="74" spans="1:27">
      <c r="A74" s="7"/>
      <c r="B74" s="7"/>
      <c r="C74" s="2" t="e">
        <f>#REF!</f>
        <v>#REF!</v>
      </c>
      <c r="D74" s="1" t="e">
        <f>#REF!</f>
        <v>#REF!</v>
      </c>
      <c r="E74" s="15" t="e">
        <f t="shared" si="0"/>
        <v>#REF!</v>
      </c>
      <c r="F74" s="8" t="str">
        <f t="shared" si="1"/>
        <v xml:space="preserve"> </v>
      </c>
      <c r="G74" s="12" t="str">
        <f t="array" ref="G74">IF(ISBLANK(N74)," ",_xlfn.XLOOKUP(D74,#REF!,#REF!))</f>
        <v xml:space="preserve"> </v>
      </c>
      <c r="H74" s="13">
        <f t="shared" si="2"/>
        <v>0</v>
      </c>
      <c r="I74" s="8" t="str">
        <f t="array" ref="I74">IF(ISBLANK(K74)," ",_xlfn.XLOOKUP(D74,#REF!,#REF!))</f>
        <v xml:space="preserve"> </v>
      </c>
      <c r="J74" s="8" t="str">
        <f t="array" ref="J74">IF(ISBLANK(N74)," ",_xlfn.XLOOKUP(F74,Edades!$A$2:$A$101,IF(I74="F",Edades!$B$2:$B$101,Edades!$C$2:$C$101)))</f>
        <v xml:space="preserve"> </v>
      </c>
      <c r="K74" s="8"/>
      <c r="L74" s="8"/>
      <c r="M74" s="13"/>
      <c r="N74" s="8"/>
      <c r="O74" s="8"/>
      <c r="P74" s="8"/>
      <c r="Q74" s="8"/>
      <c r="R74" s="8"/>
      <c r="S74" s="8"/>
      <c r="T74" s="7"/>
      <c r="U74" s="7"/>
      <c r="V74" s="7"/>
      <c r="W74" s="7"/>
      <c r="X74" s="7"/>
      <c r="Y74" s="7"/>
      <c r="Z74" s="7"/>
      <c r="AA74" s="7"/>
    </row>
    <row r="75" spans="1:27">
      <c r="A75" s="7"/>
      <c r="B75" s="7"/>
      <c r="C75" s="2" t="e">
        <f>#REF!</f>
        <v>#REF!</v>
      </c>
      <c r="D75" s="1" t="e">
        <f>#REF!</f>
        <v>#REF!</v>
      </c>
      <c r="E75" s="15" t="e">
        <f t="shared" si="0"/>
        <v>#REF!</v>
      </c>
      <c r="F75" s="8" t="str">
        <f t="shared" si="1"/>
        <v xml:space="preserve"> </v>
      </c>
      <c r="G75" s="12" t="str">
        <f t="array" ref="G75">IF(ISBLANK(N75)," ",_xlfn.XLOOKUP(D75,#REF!,#REF!))</f>
        <v xml:space="preserve"> </v>
      </c>
      <c r="H75" s="13">
        <f t="shared" si="2"/>
        <v>0</v>
      </c>
      <c r="I75" s="8" t="str">
        <f t="array" ref="I75">IF(ISBLANK(K75)," ",_xlfn.XLOOKUP(D75,#REF!,#REF!))</f>
        <v xml:space="preserve"> </v>
      </c>
      <c r="J75" s="8" t="str">
        <f t="array" ref="J75">IF(ISBLANK(N75)," ",_xlfn.XLOOKUP(F75,Edades!$A$2:$A$101,IF(I75="F",Edades!$B$2:$B$101,Edades!$C$2:$C$101)))</f>
        <v xml:space="preserve"> </v>
      </c>
      <c r="K75" s="8"/>
      <c r="L75" s="8"/>
      <c r="M75" s="13"/>
      <c r="N75" s="8"/>
      <c r="O75" s="8"/>
      <c r="P75" s="8"/>
      <c r="Q75" s="8"/>
      <c r="R75" s="8"/>
      <c r="S75" s="8"/>
      <c r="T75" s="7"/>
      <c r="U75" s="7"/>
      <c r="V75" s="7"/>
      <c r="W75" s="7"/>
      <c r="X75" s="7"/>
      <c r="Y75" s="7"/>
      <c r="Z75" s="7"/>
      <c r="AA75" s="7"/>
    </row>
    <row r="76" spans="1:27">
      <c r="A76" s="7"/>
      <c r="B76" s="7"/>
      <c r="C76" s="2" t="e">
        <f>#REF!</f>
        <v>#REF!</v>
      </c>
      <c r="D76" s="1" t="e">
        <f>#REF!</f>
        <v>#REF!</v>
      </c>
      <c r="E76" s="15" t="e">
        <f t="shared" si="0"/>
        <v>#REF!</v>
      </c>
      <c r="F76" s="8" t="str">
        <f t="shared" si="1"/>
        <v xml:space="preserve"> </v>
      </c>
      <c r="G76" s="12" t="str">
        <f t="array" ref="G76">IF(ISBLANK(N76)," ",_xlfn.XLOOKUP(D76,#REF!,#REF!))</f>
        <v xml:space="preserve"> </v>
      </c>
      <c r="H76" s="13">
        <f t="shared" si="2"/>
        <v>0</v>
      </c>
      <c r="I76" s="8" t="str">
        <f t="array" ref="I76">IF(ISBLANK(K76)," ",_xlfn.XLOOKUP(D76,#REF!,#REF!))</f>
        <v xml:space="preserve"> </v>
      </c>
      <c r="J76" s="8" t="str">
        <f t="array" ref="J76">IF(ISBLANK(N76)," ",_xlfn.XLOOKUP(F76,Edades!$A$2:$A$101,IF(I76="F",Edades!$B$2:$B$101,Edades!$C$2:$C$101)))</f>
        <v xml:space="preserve"> </v>
      </c>
      <c r="K76" s="8"/>
      <c r="L76" s="8"/>
      <c r="M76" s="13"/>
      <c r="N76" s="8"/>
      <c r="O76" s="8"/>
      <c r="P76" s="8"/>
      <c r="Q76" s="8"/>
      <c r="R76" s="8"/>
      <c r="S76" s="8"/>
      <c r="T76" s="7"/>
      <c r="U76" s="7"/>
      <c r="V76" s="7"/>
      <c r="W76" s="7"/>
      <c r="X76" s="7"/>
      <c r="Y76" s="7"/>
      <c r="Z76" s="7"/>
      <c r="AA76" s="7"/>
    </row>
    <row r="77" spans="1:27">
      <c r="A77" s="7"/>
      <c r="B77" s="7"/>
      <c r="C77" s="2" t="e">
        <f>#REF!</f>
        <v>#REF!</v>
      </c>
      <c r="D77" s="1" t="e">
        <f>#REF!</f>
        <v>#REF!</v>
      </c>
      <c r="E77" s="15" t="e">
        <f t="shared" si="0"/>
        <v>#REF!</v>
      </c>
      <c r="F77" s="8" t="str">
        <f t="shared" si="1"/>
        <v xml:space="preserve"> </v>
      </c>
      <c r="G77" s="12" t="str">
        <f t="array" ref="G77">IF(ISBLANK(N77)," ",_xlfn.XLOOKUP(D77,#REF!,#REF!))</f>
        <v xml:space="preserve"> </v>
      </c>
      <c r="H77" s="13">
        <f t="shared" si="2"/>
        <v>0</v>
      </c>
      <c r="I77" s="8" t="str">
        <f t="array" ref="I77">IF(ISBLANK(K77)," ",_xlfn.XLOOKUP(D77,#REF!,#REF!))</f>
        <v xml:space="preserve"> </v>
      </c>
      <c r="J77" s="8" t="str">
        <f t="array" ref="J77">IF(ISBLANK(N77)," ",_xlfn.XLOOKUP(F77,Edades!$A$2:$A$101,IF(I77="F",Edades!$B$2:$B$101,Edades!$C$2:$C$101)))</f>
        <v xml:space="preserve"> </v>
      </c>
      <c r="K77" s="8"/>
      <c r="L77" s="8"/>
      <c r="M77" s="13"/>
      <c r="N77" s="8"/>
      <c r="O77" s="8"/>
      <c r="P77" s="8"/>
      <c r="Q77" s="8"/>
      <c r="R77" s="8"/>
      <c r="S77" s="8"/>
      <c r="T77" s="7"/>
      <c r="U77" s="7"/>
      <c r="V77" s="7"/>
      <c r="W77" s="7"/>
      <c r="X77" s="7"/>
      <c r="Y77" s="7"/>
      <c r="Z77" s="7"/>
      <c r="AA77" s="7"/>
    </row>
    <row r="78" spans="1:27">
      <c r="A78" s="7"/>
      <c r="B78" s="7"/>
      <c r="C78" s="2" t="e">
        <f>#REF!</f>
        <v>#REF!</v>
      </c>
      <c r="D78" s="1" t="e">
        <f>#REF!</f>
        <v>#REF!</v>
      </c>
      <c r="E78" s="7"/>
      <c r="F78" s="8" t="str">
        <f t="shared" si="1"/>
        <v xml:space="preserve"> </v>
      </c>
      <c r="G78" s="12" t="str">
        <f t="array" ref="G78">IF(ISBLANK(N78)," ",_xlfn.XLOOKUP(D78,#REF!,#REF!))</f>
        <v xml:space="preserve"> </v>
      </c>
      <c r="H78" s="13">
        <f t="shared" si="2"/>
        <v>0</v>
      </c>
      <c r="I78" s="8" t="str">
        <f t="array" ref="I78">IF(ISBLANK(K78)," ",_xlfn.XLOOKUP(D78,#REF!,#REF!))</f>
        <v xml:space="preserve"> </v>
      </c>
      <c r="J78" s="8" t="str">
        <f t="array" ref="J78">IF(ISBLANK(N78)," ",_xlfn.XLOOKUP(F78,Edades!$A$2:$A$101,IF(I78="F",Edades!$B$2:$B$101,Edades!$C$2:$C$101)))</f>
        <v xml:space="preserve"> </v>
      </c>
      <c r="K78" s="8"/>
      <c r="L78" s="8"/>
      <c r="M78" s="13"/>
      <c r="N78" s="8"/>
      <c r="O78" s="8"/>
      <c r="P78" s="8"/>
      <c r="Q78" s="8"/>
      <c r="R78" s="8"/>
      <c r="S78" s="8"/>
      <c r="T78" s="7"/>
      <c r="U78" s="7"/>
      <c r="V78" s="7"/>
      <c r="W78" s="7"/>
      <c r="X78" s="7"/>
      <c r="Y78" s="7"/>
      <c r="Z78" s="7"/>
      <c r="AA78" s="7"/>
    </row>
    <row r="79" spans="1:27">
      <c r="A79" s="7"/>
      <c r="B79" s="7"/>
      <c r="C79" s="2" t="e">
        <f>#REF!</f>
        <v>#REF!</v>
      </c>
      <c r="D79" s="1" t="e">
        <f>#REF!</f>
        <v>#REF!</v>
      </c>
      <c r="E79" s="7"/>
      <c r="F79" s="8" t="str">
        <f t="shared" si="1"/>
        <v xml:space="preserve"> </v>
      </c>
      <c r="G79" s="12" t="str">
        <f t="array" ref="G79">IF(ISBLANK(N79)," ",_xlfn.XLOOKUP(D79,#REF!,#REF!))</f>
        <v xml:space="preserve"> </v>
      </c>
      <c r="H79" s="13">
        <f t="shared" si="2"/>
        <v>0</v>
      </c>
      <c r="I79" s="8" t="str">
        <f t="array" ref="I79">IF(ISBLANK(K79)," ",_xlfn.XLOOKUP(D79,#REF!,#REF!))</f>
        <v xml:space="preserve"> </v>
      </c>
      <c r="J79" s="8" t="str">
        <f t="array" ref="J79">IF(ISBLANK(N79)," ",_xlfn.XLOOKUP(F79,Edades!$A$2:$A$101,IF(I79="F",Edades!$B$2:$B$101,Edades!$C$2:$C$101)))</f>
        <v xml:space="preserve"> </v>
      </c>
      <c r="K79" s="8"/>
      <c r="L79" s="8"/>
      <c r="M79" s="13"/>
      <c r="N79" s="8"/>
      <c r="O79" s="8"/>
      <c r="P79" s="8"/>
      <c r="Q79" s="8"/>
      <c r="R79" s="8"/>
      <c r="S79" s="8"/>
      <c r="T79" s="7"/>
      <c r="U79" s="7"/>
      <c r="V79" s="7"/>
      <c r="W79" s="7"/>
      <c r="X79" s="7"/>
      <c r="Y79" s="7"/>
      <c r="Z79" s="7"/>
      <c r="AA79" s="7"/>
    </row>
    <row r="80" spans="1:27">
      <c r="A80" s="7"/>
      <c r="B80" s="7"/>
      <c r="C80" s="2" t="e">
        <f>#REF!</f>
        <v>#REF!</v>
      </c>
      <c r="D80" s="1" t="e">
        <f>#REF!</f>
        <v>#REF!</v>
      </c>
      <c r="E80" s="7"/>
      <c r="F80" s="8" t="str">
        <f t="shared" si="1"/>
        <v xml:space="preserve"> </v>
      </c>
      <c r="G80" s="12" t="str">
        <f t="array" ref="G80">IF(ISBLANK(N80)," ",_xlfn.XLOOKUP(D80,#REF!,#REF!))</f>
        <v xml:space="preserve"> </v>
      </c>
      <c r="H80" s="13">
        <f t="shared" si="2"/>
        <v>0</v>
      </c>
      <c r="I80" s="8" t="str">
        <f t="array" ref="I80">IF(ISBLANK(K80)," ",_xlfn.XLOOKUP(D80,#REF!,#REF!))</f>
        <v xml:space="preserve"> </v>
      </c>
      <c r="J80" s="8" t="str">
        <f t="array" ref="J80">IF(ISBLANK(N80)," ",_xlfn.XLOOKUP(F80,Edades!$A$2:$A$101,IF(I80="F",Edades!$B$2:$B$101,Edades!$C$2:$C$101)))</f>
        <v xml:space="preserve"> </v>
      </c>
      <c r="K80" s="8"/>
      <c r="L80" s="8"/>
      <c r="M80" s="13"/>
      <c r="N80" s="8"/>
      <c r="O80" s="8"/>
      <c r="P80" s="8"/>
      <c r="Q80" s="8"/>
      <c r="R80" s="8"/>
      <c r="S80" s="8"/>
      <c r="T80" s="7"/>
      <c r="U80" s="7"/>
      <c r="V80" s="7"/>
      <c r="W80" s="7"/>
      <c r="X80" s="7"/>
      <c r="Y80" s="7"/>
      <c r="Z80" s="7"/>
      <c r="AA80" s="7"/>
    </row>
    <row r="81" spans="1:27">
      <c r="A81" s="7"/>
      <c r="B81" s="7"/>
      <c r="C81" s="2" t="e">
        <f>#REF!</f>
        <v>#REF!</v>
      </c>
      <c r="D81" s="1" t="e">
        <f>#REF!</f>
        <v>#REF!</v>
      </c>
      <c r="E81" s="7"/>
      <c r="F81" s="8" t="str">
        <f t="shared" si="1"/>
        <v xml:space="preserve"> </v>
      </c>
      <c r="G81" s="12" t="str">
        <f t="array" ref="G81">IF(ISBLANK(N81)," ",_xlfn.XLOOKUP(D81,#REF!,#REF!))</f>
        <v xml:space="preserve"> </v>
      </c>
      <c r="H81" s="13">
        <f t="shared" si="2"/>
        <v>0</v>
      </c>
      <c r="I81" s="8" t="str">
        <f t="array" ref="I81">IF(ISBLANK(K81)," ",_xlfn.XLOOKUP(D81,#REF!,#REF!))</f>
        <v xml:space="preserve"> </v>
      </c>
      <c r="J81" s="8" t="str">
        <f t="array" ref="J81">IF(ISBLANK(N81)," ",_xlfn.XLOOKUP(F81,Edades!$A$2:$A$101,IF(I81="F",Edades!$B$2:$B$101,Edades!$C$2:$C$101)))</f>
        <v xml:space="preserve"> </v>
      </c>
      <c r="K81" s="8"/>
      <c r="L81" s="8"/>
      <c r="M81" s="13"/>
      <c r="N81" s="8"/>
      <c r="O81" s="8"/>
      <c r="P81" s="8"/>
      <c r="Q81" s="8"/>
      <c r="R81" s="8"/>
      <c r="S81" s="8"/>
      <c r="T81" s="7"/>
      <c r="U81" s="7"/>
      <c r="V81" s="7"/>
      <c r="W81" s="7"/>
      <c r="X81" s="7"/>
      <c r="Y81" s="7"/>
      <c r="Z81" s="7"/>
      <c r="AA81" s="7"/>
    </row>
    <row r="82" spans="1:27">
      <c r="A82" s="7"/>
      <c r="B82" s="7"/>
      <c r="C82" s="2" t="e">
        <f>#REF!</f>
        <v>#REF!</v>
      </c>
      <c r="D82" s="1" t="e">
        <f>#REF!</f>
        <v>#REF!</v>
      </c>
      <c r="E82" s="7"/>
      <c r="F82" s="8" t="str">
        <f t="shared" si="1"/>
        <v xml:space="preserve"> </v>
      </c>
      <c r="G82" s="12" t="str">
        <f t="array" ref="G82">IF(ISBLANK(N82)," ",_xlfn.XLOOKUP(D82,#REF!,#REF!))</f>
        <v xml:space="preserve"> </v>
      </c>
      <c r="H82" s="13">
        <f t="shared" si="2"/>
        <v>0</v>
      </c>
      <c r="I82" s="8" t="str">
        <f t="array" ref="I82">IF(ISBLANK(K82)," ",_xlfn.XLOOKUP(D82,#REF!,#REF!))</f>
        <v xml:space="preserve"> </v>
      </c>
      <c r="J82" s="8" t="str">
        <f t="array" ref="J82">IF(ISBLANK(N82)," ",_xlfn.XLOOKUP(F82,Edades!$A$2:$A$101,IF(I82="F",Edades!$B$2:$B$101,Edades!$C$2:$C$101)))</f>
        <v xml:space="preserve"> </v>
      </c>
      <c r="K82" s="8"/>
      <c r="L82" s="8"/>
      <c r="M82" s="13"/>
      <c r="N82" s="8"/>
      <c r="O82" s="8"/>
      <c r="P82" s="8"/>
      <c r="Q82" s="8"/>
      <c r="R82" s="8"/>
      <c r="S82" s="8"/>
      <c r="T82" s="7"/>
      <c r="U82" s="7"/>
      <c r="V82" s="7"/>
      <c r="W82" s="7"/>
      <c r="X82" s="7"/>
      <c r="Y82" s="7"/>
      <c r="Z82" s="7"/>
      <c r="AA82" s="7"/>
    </row>
    <row r="83" spans="1:27">
      <c r="A83" s="7"/>
      <c r="B83" s="7"/>
      <c r="C83" s="2" t="e">
        <f>#REF!</f>
        <v>#REF!</v>
      </c>
      <c r="D83" s="1" t="e">
        <f>#REF!</f>
        <v>#REF!</v>
      </c>
      <c r="E83" s="7"/>
      <c r="F83" s="8" t="str">
        <f t="shared" si="1"/>
        <v xml:space="preserve"> </v>
      </c>
      <c r="G83" s="12" t="str">
        <f t="array" ref="G83">IF(ISBLANK(N83)," ",_xlfn.XLOOKUP(D83,#REF!,#REF!))</f>
        <v xml:space="preserve"> </v>
      </c>
      <c r="H83" s="13">
        <f t="shared" si="2"/>
        <v>0</v>
      </c>
      <c r="I83" s="8" t="str">
        <f t="array" ref="I83">IF(ISBLANK(K83)," ",_xlfn.XLOOKUP(D83,#REF!,#REF!))</f>
        <v xml:space="preserve"> </v>
      </c>
      <c r="J83" s="8" t="str">
        <f t="array" ref="J83">IF(ISBLANK(N83)," ",_xlfn.XLOOKUP(F83,Edades!$A$2:$A$101,IF(I83="F",Edades!$B$2:$B$101,Edades!$C$2:$C$101)))</f>
        <v xml:space="preserve"> </v>
      </c>
      <c r="K83" s="8"/>
      <c r="L83" s="8"/>
      <c r="M83" s="13"/>
      <c r="N83" s="8"/>
      <c r="O83" s="8"/>
      <c r="P83" s="8"/>
      <c r="Q83" s="8"/>
      <c r="R83" s="8"/>
      <c r="S83" s="8"/>
      <c r="T83" s="7"/>
      <c r="U83" s="7"/>
      <c r="V83" s="7"/>
      <c r="W83" s="7"/>
      <c r="X83" s="7"/>
      <c r="Y83" s="7"/>
      <c r="Z83" s="7"/>
      <c r="AA83" s="7"/>
    </row>
    <row r="84" spans="1:27">
      <c r="A84" s="7"/>
      <c r="B84" s="7"/>
      <c r="C84" s="2" t="e">
        <f>#REF!</f>
        <v>#REF!</v>
      </c>
      <c r="D84" s="7"/>
      <c r="E84" s="7"/>
      <c r="F84" s="8" t="str">
        <f t="shared" si="1"/>
        <v xml:space="preserve"> </v>
      </c>
      <c r="G84" s="12" t="str">
        <f t="array" ref="G84">IF(ISBLANK(N84)," ",_xlfn.XLOOKUP(D84,#REF!,#REF!))</f>
        <v xml:space="preserve"> </v>
      </c>
      <c r="H84" s="13">
        <f t="shared" si="2"/>
        <v>0</v>
      </c>
      <c r="I84" s="8" t="str">
        <f t="array" ref="I84">IF(ISBLANK(K84)," ",_xlfn.XLOOKUP(D84,#REF!,#REF!))</f>
        <v xml:space="preserve"> </v>
      </c>
      <c r="J84" s="8" t="str">
        <f t="array" ref="J84">IF(ISBLANK(N84)," ",_xlfn.XLOOKUP(F84,Edades!$A$2:$A$101,IF(I84="F",Edades!$B$2:$B$101,Edades!$C$2:$C$101)))</f>
        <v xml:space="preserve"> </v>
      </c>
      <c r="K84" s="8"/>
      <c r="L84" s="8"/>
      <c r="M84" s="13"/>
      <c r="N84" s="8"/>
      <c r="O84" s="8"/>
      <c r="P84" s="8"/>
      <c r="Q84" s="8"/>
      <c r="R84" s="8"/>
      <c r="S84" s="8"/>
      <c r="T84" s="7"/>
      <c r="U84" s="7"/>
      <c r="V84" s="7"/>
      <c r="W84" s="7"/>
      <c r="X84" s="7"/>
      <c r="Y84" s="7"/>
      <c r="Z84" s="7"/>
      <c r="AA84" s="7"/>
    </row>
    <row r="85" spans="1:27">
      <c r="A85" s="7"/>
      <c r="B85" s="7"/>
      <c r="C85" s="2" t="e">
        <f>#REF!</f>
        <v>#REF!</v>
      </c>
      <c r="D85" s="7"/>
      <c r="E85" s="7"/>
      <c r="F85" s="8" t="str">
        <f t="shared" si="1"/>
        <v xml:space="preserve"> </v>
      </c>
      <c r="G85" s="12" t="str">
        <f t="array" ref="G85">IF(ISBLANK(N85)," ",_xlfn.XLOOKUP(D85,#REF!,#REF!))</f>
        <v xml:space="preserve"> </v>
      </c>
      <c r="H85" s="13">
        <f t="shared" si="2"/>
        <v>0</v>
      </c>
      <c r="I85" s="8" t="str">
        <f t="array" ref="I85">IF(ISBLANK(K85)," ",_xlfn.XLOOKUP(D85,#REF!,#REF!))</f>
        <v xml:space="preserve"> </v>
      </c>
      <c r="J85" s="8" t="str">
        <f t="array" ref="J85">IF(ISBLANK(N85)," ",_xlfn.XLOOKUP(F85,Edades!$A$2:$A$101,IF(I85="F",Edades!$B$2:$B$101,Edades!$C$2:$C$101)))</f>
        <v xml:space="preserve"> </v>
      </c>
      <c r="K85" s="8"/>
      <c r="L85" s="8"/>
      <c r="M85" s="13"/>
      <c r="N85" s="8"/>
      <c r="O85" s="8"/>
      <c r="P85" s="8"/>
      <c r="Q85" s="8"/>
      <c r="R85" s="8"/>
      <c r="S85" s="8"/>
      <c r="T85" s="7"/>
      <c r="U85" s="7"/>
      <c r="V85" s="7"/>
      <c r="W85" s="7"/>
      <c r="X85" s="7"/>
      <c r="Y85" s="7"/>
      <c r="Z85" s="7"/>
      <c r="AA85" s="7"/>
    </row>
    <row r="86" spans="1:27">
      <c r="A86" s="7"/>
      <c r="B86" s="7"/>
      <c r="C86" s="2" t="e">
        <f>#REF!</f>
        <v>#REF!</v>
      </c>
      <c r="D86" s="7"/>
      <c r="E86" s="7"/>
      <c r="F86" s="8" t="str">
        <f t="shared" si="1"/>
        <v xml:space="preserve"> </v>
      </c>
      <c r="G86" s="12" t="str">
        <f t="array" ref="G86">IF(ISBLANK(N86)," ",_xlfn.XLOOKUP(D86,#REF!,#REF!))</f>
        <v xml:space="preserve"> </v>
      </c>
      <c r="H86" s="13">
        <f t="shared" si="2"/>
        <v>0</v>
      </c>
      <c r="I86" s="8" t="str">
        <f t="array" ref="I86">IF(ISBLANK(K86)," ",_xlfn.XLOOKUP(D86,#REF!,#REF!))</f>
        <v xml:space="preserve"> </v>
      </c>
      <c r="J86" s="8" t="str">
        <f t="array" ref="J86">IF(ISBLANK(N86)," ",_xlfn.XLOOKUP(F86,Edades!$A$2:$A$101,IF(I86="F",Edades!$B$2:$B$101,Edades!$C$2:$C$101)))</f>
        <v xml:space="preserve"> </v>
      </c>
      <c r="K86" s="8"/>
      <c r="L86" s="8"/>
      <c r="M86" s="13"/>
      <c r="N86" s="8"/>
      <c r="O86" s="8"/>
      <c r="P86" s="8"/>
      <c r="Q86" s="8"/>
      <c r="R86" s="8"/>
      <c r="S86" s="8"/>
      <c r="T86" s="7"/>
      <c r="U86" s="7"/>
      <c r="V86" s="7"/>
      <c r="W86" s="7"/>
      <c r="X86" s="7"/>
      <c r="Y86" s="7"/>
      <c r="Z86" s="7"/>
      <c r="AA86" s="7"/>
    </row>
    <row r="87" spans="1:27">
      <c r="A87" s="7"/>
      <c r="B87" s="7"/>
      <c r="C87" s="2" t="e">
        <f>#REF!</f>
        <v>#REF!</v>
      </c>
      <c r="D87" s="7"/>
      <c r="E87" s="7"/>
      <c r="F87" s="8" t="str">
        <f t="shared" ref="F87:F225" si="3">IF(ISBLANK(K87)," ",IF(     YEARFRAC(G87,CONCATENATE("31/12/",YEAR(G87)),1)&gt;0.502,    ROUND(YEARFRAC(CONCATENATE("31/12/",YEAR(G87)-1),IF( YEARFRAC(H87,CONCATENATE("31/12/",YEAR(H87)),1)&gt;0.502, CONCATENATE("31/12/",YEAR(H87)-1), CONCATENATE("31/12/",YEAR(H87)) ),1),0),       ROUND(YEARFRAC(CONCATENATE("31/12/",YEAR(G87)),IF( YEARFRAC(H87,CONCATENATE("31/12/",YEAR(H87)),1)&gt;0.502, CONCATENATE("31/12/",YEAR(H87)-1), CONCATENATE("31/12/",YEAR(H87)) ),1),0)   ))</f>
        <v xml:space="preserve"> </v>
      </c>
      <c r="G87" s="12" t="str">
        <f t="array" ref="G87">IF(ISBLANK(K87)," ",_xlfn.XLOOKUP(#REF!,#REF!,#REF!))</f>
        <v xml:space="preserve"> </v>
      </c>
      <c r="H87" s="13">
        <f t="shared" si="2"/>
        <v>0</v>
      </c>
      <c r="I87" s="8" t="str">
        <f t="array" ref="I87">IF(ISBLANK(K87)," ",_xlfn.XLOOKUP(#REF!,#REF!,#REF!))</f>
        <v xml:space="preserve"> </v>
      </c>
      <c r="J87" s="8" t="str">
        <f t="array" ref="J87">IF(ISBLANK(K87)," ",_xlfn.XLOOKUP(F87,Edades!$A$2:$A$101,IF(I87="F",Edades!$B$2:$B$101,Edades!$C$2:$C$101)))</f>
        <v xml:space="preserve"> </v>
      </c>
      <c r="K87" s="8"/>
      <c r="L87" s="8"/>
      <c r="M87" s="13"/>
      <c r="N87" s="8"/>
      <c r="O87" s="8"/>
      <c r="P87" s="8"/>
      <c r="Q87" s="8"/>
      <c r="R87" s="8"/>
      <c r="S87" s="8"/>
      <c r="T87" s="7"/>
      <c r="U87" s="7"/>
      <c r="V87" s="7"/>
      <c r="W87" s="7"/>
      <c r="X87" s="7"/>
      <c r="Y87" s="7"/>
      <c r="Z87" s="7"/>
      <c r="AA87" s="7"/>
    </row>
    <row r="88" spans="1:27">
      <c r="A88" s="7"/>
      <c r="B88" s="7"/>
      <c r="C88" s="2" t="e">
        <f>#REF!</f>
        <v>#REF!</v>
      </c>
      <c r="D88" s="7"/>
      <c r="E88" s="7"/>
      <c r="F88" s="8" t="str">
        <f t="shared" si="3"/>
        <v xml:space="preserve"> </v>
      </c>
      <c r="G88" s="12" t="str">
        <f t="array" ref="G88">IF(ISBLANK(K88)," ",_xlfn.XLOOKUP(#REF!,#REF!,#REF!))</f>
        <v xml:space="preserve"> </v>
      </c>
      <c r="H88" s="13">
        <f t="shared" si="2"/>
        <v>0</v>
      </c>
      <c r="I88" s="8" t="str">
        <f t="array" ref="I88">IF(ISBLANK(K88)," ",_xlfn.XLOOKUP(#REF!,#REF!,#REF!))</f>
        <v xml:space="preserve"> </v>
      </c>
      <c r="J88" s="8" t="str">
        <f t="array" ref="J88">IF(ISBLANK(K88)," ",_xlfn.XLOOKUP(F88,Edades!$A$2:$A$101,IF(I88="F",Edades!$B$2:$B$101,Edades!$C$2:$C$101)))</f>
        <v xml:space="preserve"> </v>
      </c>
      <c r="K88" s="8"/>
      <c r="L88" s="8"/>
      <c r="M88" s="13"/>
      <c r="N88" s="8"/>
      <c r="O88" s="8"/>
      <c r="P88" s="8"/>
      <c r="Q88" s="8"/>
      <c r="R88" s="8"/>
      <c r="S88" s="8"/>
      <c r="T88" s="7"/>
      <c r="U88" s="7"/>
      <c r="V88" s="7"/>
      <c r="W88" s="7"/>
      <c r="X88" s="7"/>
      <c r="Y88" s="7"/>
      <c r="Z88" s="7"/>
      <c r="AA88" s="7"/>
    </row>
    <row r="89" spans="1:27">
      <c r="A89" s="7"/>
      <c r="B89" s="7"/>
      <c r="C89" s="7"/>
      <c r="D89" s="7"/>
      <c r="E89" s="7"/>
      <c r="F89" s="8" t="str">
        <f t="shared" si="3"/>
        <v xml:space="preserve"> </v>
      </c>
      <c r="G89" s="12" t="str">
        <f t="array" ref="G89">IF(ISBLANK(K89)," ",_xlfn.XLOOKUP(#REF!,#REF!,#REF!))</f>
        <v xml:space="preserve"> </v>
      </c>
      <c r="H89" s="13">
        <f t="shared" si="2"/>
        <v>0</v>
      </c>
      <c r="I89" s="8" t="str">
        <f t="array" ref="I89">IF(ISBLANK(K89)," ",_xlfn.XLOOKUP(#REF!,#REF!,#REF!))</f>
        <v xml:space="preserve"> </v>
      </c>
      <c r="J89" s="8" t="str">
        <f t="array" ref="J89">IF(ISBLANK(K89)," ",_xlfn.XLOOKUP(F89,Edades!$A$2:$A$101,IF(I89="F",Edades!$B$2:$B$101,Edades!$C$2:$C$101)))</f>
        <v xml:space="preserve"> </v>
      </c>
      <c r="K89" s="8"/>
      <c r="L89" s="8"/>
      <c r="M89" s="13"/>
      <c r="N89" s="8"/>
      <c r="O89" s="8"/>
      <c r="P89" s="8"/>
      <c r="Q89" s="8"/>
      <c r="R89" s="8"/>
      <c r="S89" s="8"/>
      <c r="T89" s="7"/>
      <c r="U89" s="7"/>
      <c r="V89" s="7"/>
      <c r="W89" s="7"/>
      <c r="X89" s="7"/>
      <c r="Y89" s="7"/>
      <c r="Z89" s="7"/>
      <c r="AA89" s="7"/>
    </row>
    <row r="90" spans="1:27">
      <c r="A90" s="7"/>
      <c r="B90" s="7"/>
      <c r="C90" s="7"/>
      <c r="D90" s="7"/>
      <c r="E90" s="7"/>
      <c r="F90" s="8" t="str">
        <f t="shared" si="3"/>
        <v xml:space="preserve"> </v>
      </c>
      <c r="G90" s="12" t="str">
        <f t="array" ref="G90">IF(ISBLANK(K90)," ",_xlfn.XLOOKUP(#REF!,#REF!,#REF!))</f>
        <v xml:space="preserve"> </v>
      </c>
      <c r="H90" s="13">
        <f t="shared" si="2"/>
        <v>0</v>
      </c>
      <c r="I90" s="8" t="str">
        <f t="array" ref="I90">IF(ISBLANK(K90)," ",_xlfn.XLOOKUP(#REF!,#REF!,#REF!))</f>
        <v xml:space="preserve"> </v>
      </c>
      <c r="J90" s="8" t="str">
        <f t="array" ref="J90">IF(ISBLANK(K90)," ",_xlfn.XLOOKUP(F90,Edades!$A$2:$A$101,IF(I90="F",Edades!$B$2:$B$101,Edades!$C$2:$C$101)))</f>
        <v xml:space="preserve"> </v>
      </c>
      <c r="K90" s="8"/>
      <c r="L90" s="8"/>
      <c r="M90" s="13"/>
      <c r="N90" s="8"/>
      <c r="O90" s="8"/>
      <c r="P90" s="8"/>
      <c r="Q90" s="8"/>
      <c r="R90" s="8"/>
      <c r="S90" s="8"/>
      <c r="T90" s="7"/>
      <c r="U90" s="7"/>
      <c r="V90" s="7"/>
      <c r="W90" s="7"/>
      <c r="X90" s="7"/>
      <c r="Y90" s="7"/>
      <c r="Z90" s="7"/>
      <c r="AA90" s="7"/>
    </row>
    <row r="91" spans="1:27">
      <c r="A91" s="7"/>
      <c r="B91" s="7"/>
      <c r="C91" s="7"/>
      <c r="D91" s="7"/>
      <c r="E91" s="7"/>
      <c r="F91" s="8" t="str">
        <f t="shared" si="3"/>
        <v xml:space="preserve"> </v>
      </c>
      <c r="G91" s="12" t="str">
        <f t="array" ref="G91">IF(ISBLANK(K91)," ",_xlfn.XLOOKUP(#REF!,#REF!,#REF!))</f>
        <v xml:space="preserve"> </v>
      </c>
      <c r="H91" s="13">
        <f t="shared" si="2"/>
        <v>0</v>
      </c>
      <c r="I91" s="8" t="str">
        <f t="array" ref="I91">IF(ISBLANK(K91)," ",_xlfn.XLOOKUP(#REF!,#REF!,#REF!))</f>
        <v xml:space="preserve"> </v>
      </c>
      <c r="J91" s="8" t="str">
        <f t="array" ref="J91">IF(ISBLANK(K91)," ",_xlfn.XLOOKUP(F91,Edades!$A$2:$A$101,IF(I91="F",Edades!$B$2:$B$101,Edades!$C$2:$C$101)))</f>
        <v xml:space="preserve"> </v>
      </c>
      <c r="K91" s="8"/>
      <c r="L91" s="8"/>
      <c r="M91" s="13"/>
      <c r="N91" s="8"/>
      <c r="O91" s="8"/>
      <c r="P91" s="8"/>
      <c r="Q91" s="8"/>
      <c r="R91" s="8"/>
      <c r="S91" s="8"/>
      <c r="T91" s="7"/>
      <c r="U91" s="7"/>
      <c r="V91" s="7"/>
      <c r="W91" s="7"/>
      <c r="X91" s="7"/>
      <c r="Y91" s="7"/>
      <c r="Z91" s="7"/>
      <c r="AA91" s="7"/>
    </row>
    <row r="92" spans="1:27">
      <c r="A92" s="7"/>
      <c r="B92" s="7"/>
      <c r="C92" s="7"/>
      <c r="D92" s="7"/>
      <c r="E92" s="7"/>
      <c r="F92" s="8" t="str">
        <f t="shared" si="3"/>
        <v xml:space="preserve"> </v>
      </c>
      <c r="G92" s="12" t="str">
        <f t="array" ref="G92">IF(ISBLANK(K92)," ",_xlfn.XLOOKUP(#REF!,#REF!,#REF!))</f>
        <v xml:space="preserve"> </v>
      </c>
      <c r="H92" s="13">
        <f t="shared" si="2"/>
        <v>0</v>
      </c>
      <c r="I92" s="8" t="str">
        <f t="array" ref="I92">IF(ISBLANK(K92)," ",_xlfn.XLOOKUP(#REF!,#REF!,#REF!))</f>
        <v xml:space="preserve"> </v>
      </c>
      <c r="J92" s="8" t="str">
        <f t="array" ref="J92">IF(ISBLANK(K92)," ",_xlfn.XLOOKUP(F92,Edades!$A$2:$A$101,IF(I92="F",Edades!$B$2:$B$101,Edades!$C$2:$C$101)))</f>
        <v xml:space="preserve"> </v>
      </c>
      <c r="K92" s="8"/>
      <c r="L92" s="8"/>
      <c r="M92" s="13"/>
      <c r="N92" s="8"/>
      <c r="O92" s="8"/>
      <c r="P92" s="8"/>
      <c r="Q92" s="8"/>
      <c r="R92" s="8"/>
      <c r="S92" s="8"/>
      <c r="T92" s="7"/>
      <c r="U92" s="7"/>
      <c r="V92" s="7"/>
      <c r="W92" s="7"/>
      <c r="X92" s="7"/>
      <c r="Y92" s="7"/>
      <c r="Z92" s="7"/>
      <c r="AA92" s="7"/>
    </row>
    <row r="93" spans="1:27">
      <c r="A93" s="7"/>
      <c r="B93" s="7"/>
      <c r="C93" s="7"/>
      <c r="D93" s="7"/>
      <c r="E93" s="7"/>
      <c r="F93" s="8" t="str">
        <f t="shared" si="3"/>
        <v xml:space="preserve"> </v>
      </c>
      <c r="G93" s="12" t="str">
        <f t="array" ref="G93">IF(ISBLANK(K93)," ",_xlfn.XLOOKUP(#REF!,#REF!,#REF!))</f>
        <v xml:space="preserve"> </v>
      </c>
      <c r="H93" s="13">
        <f t="shared" si="2"/>
        <v>0</v>
      </c>
      <c r="I93" s="8" t="str">
        <f t="array" ref="I93">IF(ISBLANK(K93)," ",_xlfn.XLOOKUP(#REF!,#REF!,#REF!))</f>
        <v xml:space="preserve"> </v>
      </c>
      <c r="J93" s="8" t="str">
        <f t="array" ref="J93">IF(ISBLANK(K93)," ",_xlfn.XLOOKUP(F93,Edades!$A$2:$A$101,IF(I93="F",Edades!$B$2:$B$101,Edades!$C$2:$C$101)))</f>
        <v xml:space="preserve"> </v>
      </c>
      <c r="K93" s="8"/>
      <c r="L93" s="8"/>
      <c r="M93" s="13"/>
      <c r="N93" s="8"/>
      <c r="O93" s="8"/>
      <c r="P93" s="8"/>
      <c r="Q93" s="8"/>
      <c r="R93" s="8"/>
      <c r="S93" s="8"/>
      <c r="T93" s="7"/>
      <c r="U93" s="7"/>
      <c r="V93" s="7"/>
      <c r="W93" s="7"/>
      <c r="X93" s="7"/>
      <c r="Y93" s="7"/>
      <c r="Z93" s="7"/>
      <c r="AA93" s="7"/>
    </row>
    <row r="94" spans="1:27">
      <c r="A94" s="7"/>
      <c r="B94" s="7"/>
      <c r="C94" s="7"/>
      <c r="D94" s="7"/>
      <c r="E94" s="7"/>
      <c r="F94" s="8" t="str">
        <f t="shared" si="3"/>
        <v xml:space="preserve"> </v>
      </c>
      <c r="G94" s="12" t="str">
        <f t="array" ref="G94">IF(ISBLANK(K94)," ",_xlfn.XLOOKUP(#REF!,#REF!,#REF!))</f>
        <v xml:space="preserve"> </v>
      </c>
      <c r="H94" s="13">
        <f t="shared" si="2"/>
        <v>0</v>
      </c>
      <c r="I94" s="8" t="str">
        <f t="array" ref="I94">IF(ISBLANK(K94)," ",_xlfn.XLOOKUP(#REF!,#REF!,#REF!))</f>
        <v xml:space="preserve"> </v>
      </c>
      <c r="J94" s="8" t="str">
        <f t="array" ref="J94">IF(ISBLANK(K94)," ",_xlfn.XLOOKUP(F94,Edades!$A$2:$A$101,IF(I94="F",Edades!$B$2:$B$101,Edades!$C$2:$C$101)))</f>
        <v xml:space="preserve"> </v>
      </c>
      <c r="K94" s="8"/>
      <c r="L94" s="8"/>
      <c r="M94" s="13"/>
      <c r="N94" s="8"/>
      <c r="O94" s="8"/>
      <c r="P94" s="8"/>
      <c r="Q94" s="8"/>
      <c r="R94" s="8"/>
      <c r="S94" s="8"/>
      <c r="T94" s="7"/>
      <c r="U94" s="7"/>
      <c r="V94" s="7"/>
      <c r="W94" s="7"/>
      <c r="X94" s="7"/>
      <c r="Y94" s="7"/>
      <c r="Z94" s="7"/>
      <c r="AA94" s="7"/>
    </row>
    <row r="95" spans="1:27">
      <c r="A95" s="7"/>
      <c r="B95" s="7"/>
      <c r="C95" s="7"/>
      <c r="D95" s="7"/>
      <c r="E95" s="7"/>
      <c r="F95" s="8" t="str">
        <f t="shared" si="3"/>
        <v xml:space="preserve"> </v>
      </c>
      <c r="G95" s="12" t="str">
        <f t="array" ref="G95">IF(ISBLANK(K95)," ",_xlfn.XLOOKUP(#REF!,#REF!,#REF!))</f>
        <v xml:space="preserve"> </v>
      </c>
      <c r="H95" s="13">
        <f t="shared" si="2"/>
        <v>0</v>
      </c>
      <c r="I95" s="8" t="str">
        <f t="array" ref="I95">IF(ISBLANK(K95)," ",_xlfn.XLOOKUP(#REF!,#REF!,#REF!))</f>
        <v xml:space="preserve"> </v>
      </c>
      <c r="J95" s="8" t="str">
        <f t="array" ref="J95">IF(ISBLANK(K95)," ",_xlfn.XLOOKUP(F95,Edades!$A$2:$A$101,IF(I95="F",Edades!$B$2:$B$101,Edades!$C$2:$C$101)))</f>
        <v xml:space="preserve"> </v>
      </c>
      <c r="K95" s="8"/>
      <c r="L95" s="8"/>
      <c r="M95" s="13"/>
      <c r="N95" s="8"/>
      <c r="O95" s="8"/>
      <c r="P95" s="8"/>
      <c r="Q95" s="8"/>
      <c r="R95" s="8"/>
      <c r="S95" s="8"/>
      <c r="T95" s="7"/>
      <c r="U95" s="7"/>
      <c r="V95" s="7"/>
      <c r="W95" s="7"/>
      <c r="X95" s="7"/>
      <c r="Y95" s="7"/>
      <c r="Z95" s="7"/>
      <c r="AA95" s="7"/>
    </row>
    <row r="96" spans="1:27">
      <c r="A96" s="7"/>
      <c r="B96" s="7"/>
      <c r="C96" s="7"/>
      <c r="D96" s="7"/>
      <c r="E96" s="7"/>
      <c r="F96" s="8" t="str">
        <f t="shared" si="3"/>
        <v xml:space="preserve"> </v>
      </c>
      <c r="G96" s="12" t="str">
        <f t="array" ref="G96">IF(ISBLANK(K96)," ",_xlfn.XLOOKUP(#REF!,#REF!,#REF!))</f>
        <v xml:space="preserve"> </v>
      </c>
      <c r="H96" s="13">
        <f t="shared" si="2"/>
        <v>0</v>
      </c>
      <c r="I96" s="8" t="str">
        <f t="array" ref="I96">IF(ISBLANK(K96)," ",_xlfn.XLOOKUP(#REF!,#REF!,#REF!))</f>
        <v xml:space="preserve"> </v>
      </c>
      <c r="J96" s="8" t="str">
        <f t="array" ref="J96">IF(ISBLANK(K96)," ",_xlfn.XLOOKUP(F96,Edades!$A$2:$A$101,IF(I96="F",Edades!$B$2:$B$101,Edades!$C$2:$C$101)))</f>
        <v xml:space="preserve"> </v>
      </c>
      <c r="K96" s="8"/>
      <c r="L96" s="8"/>
      <c r="M96" s="13"/>
      <c r="N96" s="8"/>
      <c r="O96" s="8"/>
      <c r="P96" s="8"/>
      <c r="Q96" s="8"/>
      <c r="R96" s="8"/>
      <c r="S96" s="8"/>
      <c r="T96" s="7"/>
      <c r="U96" s="7"/>
      <c r="V96" s="7"/>
      <c r="W96" s="7"/>
      <c r="X96" s="7"/>
      <c r="Y96" s="7"/>
      <c r="Z96" s="7"/>
      <c r="AA96" s="7"/>
    </row>
    <row r="97" spans="1:27">
      <c r="A97" s="7"/>
      <c r="B97" s="7"/>
      <c r="C97" s="7"/>
      <c r="D97" s="7"/>
      <c r="E97" s="7"/>
      <c r="F97" s="8" t="str">
        <f t="shared" si="3"/>
        <v xml:space="preserve"> </v>
      </c>
      <c r="G97" s="12" t="str">
        <f t="array" ref="G97">IF(ISBLANK(K97)," ",_xlfn.XLOOKUP(#REF!,#REF!,#REF!))</f>
        <v xml:space="preserve"> </v>
      </c>
      <c r="H97" s="13">
        <f t="shared" si="2"/>
        <v>0</v>
      </c>
      <c r="I97" s="8" t="str">
        <f t="array" ref="I97">IF(ISBLANK(K97)," ",_xlfn.XLOOKUP(#REF!,#REF!,#REF!))</f>
        <v xml:space="preserve"> </v>
      </c>
      <c r="J97" s="8" t="str">
        <f t="array" ref="J97">IF(ISBLANK(K97)," ",_xlfn.XLOOKUP(F97,Edades!$A$2:$A$101,IF(I97="F",Edades!$B$2:$B$101,Edades!$C$2:$C$101)))</f>
        <v xml:space="preserve"> </v>
      </c>
      <c r="K97" s="8"/>
      <c r="L97" s="8"/>
      <c r="M97" s="13"/>
      <c r="N97" s="8"/>
      <c r="O97" s="8"/>
      <c r="P97" s="8"/>
      <c r="Q97" s="8"/>
      <c r="R97" s="8"/>
      <c r="S97" s="8"/>
      <c r="T97" s="7"/>
      <c r="U97" s="7"/>
      <c r="V97" s="7"/>
      <c r="W97" s="7"/>
      <c r="X97" s="7"/>
      <c r="Y97" s="7"/>
      <c r="Z97" s="7"/>
      <c r="AA97" s="7"/>
    </row>
    <row r="98" spans="1:27">
      <c r="A98" s="7"/>
      <c r="B98" s="7"/>
      <c r="C98" s="7"/>
      <c r="D98" s="7"/>
      <c r="E98" s="7"/>
      <c r="F98" s="8" t="str">
        <f t="shared" si="3"/>
        <v xml:space="preserve"> </v>
      </c>
      <c r="G98" s="12" t="str">
        <f t="array" ref="G98">IF(ISBLANK(K98)," ",_xlfn.XLOOKUP(#REF!,#REF!,#REF!))</f>
        <v xml:space="preserve"> </v>
      </c>
      <c r="H98" s="13">
        <f t="shared" si="2"/>
        <v>0</v>
      </c>
      <c r="I98" s="8" t="str">
        <f t="array" ref="I98">IF(ISBLANK(K98)," ",_xlfn.XLOOKUP(#REF!,#REF!,#REF!))</f>
        <v xml:space="preserve"> </v>
      </c>
      <c r="J98" s="8" t="str">
        <f t="array" ref="J98">IF(ISBLANK(K98)," ",_xlfn.XLOOKUP(F98,Edades!$A$2:$A$101,IF(I98="F",Edades!$B$2:$B$101,Edades!$C$2:$C$101)))</f>
        <v xml:space="preserve"> </v>
      </c>
      <c r="K98" s="8"/>
      <c r="L98" s="8"/>
      <c r="M98" s="13"/>
      <c r="N98" s="8"/>
      <c r="O98" s="8"/>
      <c r="P98" s="8"/>
      <c r="Q98" s="8"/>
      <c r="R98" s="8"/>
      <c r="S98" s="8"/>
      <c r="T98" s="7"/>
      <c r="U98" s="7"/>
      <c r="V98" s="7"/>
      <c r="W98" s="7"/>
      <c r="X98" s="7"/>
      <c r="Y98" s="7"/>
      <c r="Z98" s="7"/>
      <c r="AA98" s="7"/>
    </row>
    <row r="99" spans="1:27">
      <c r="A99" s="7"/>
      <c r="B99" s="7"/>
      <c r="C99" s="7"/>
      <c r="D99" s="7"/>
      <c r="E99" s="7"/>
      <c r="F99" s="8" t="str">
        <f t="shared" si="3"/>
        <v xml:space="preserve"> </v>
      </c>
      <c r="G99" s="12" t="str">
        <f t="array" ref="G99">IF(ISBLANK(K99)," ",_xlfn.XLOOKUP(#REF!,#REF!,#REF!))</f>
        <v xml:space="preserve"> </v>
      </c>
      <c r="H99" s="13">
        <f t="shared" si="2"/>
        <v>0</v>
      </c>
      <c r="I99" s="8" t="str">
        <f t="array" ref="I99">IF(ISBLANK(K99)," ",_xlfn.XLOOKUP(#REF!,#REF!,#REF!))</f>
        <v xml:space="preserve"> </v>
      </c>
      <c r="J99" s="8" t="str">
        <f t="array" ref="J99">IF(ISBLANK(K99)," ",_xlfn.XLOOKUP(F99,Edades!$A$2:$A$101,IF(I99="F",Edades!$B$2:$B$101,Edades!$C$2:$C$101)))</f>
        <v xml:space="preserve"> </v>
      </c>
      <c r="K99" s="8"/>
      <c r="L99" s="8"/>
      <c r="M99" s="13"/>
      <c r="N99" s="8"/>
      <c r="O99" s="8"/>
      <c r="P99" s="8"/>
      <c r="Q99" s="8"/>
      <c r="R99" s="8"/>
      <c r="S99" s="8"/>
      <c r="T99" s="7"/>
      <c r="U99" s="7"/>
      <c r="V99" s="7"/>
      <c r="W99" s="7"/>
      <c r="X99" s="7"/>
      <c r="Y99" s="7"/>
      <c r="Z99" s="7"/>
      <c r="AA99" s="7"/>
    </row>
    <row r="100" spans="1:27">
      <c r="A100" s="7"/>
      <c r="B100" s="7"/>
      <c r="C100" s="7"/>
      <c r="D100" s="7"/>
      <c r="E100" s="7"/>
      <c r="F100" s="8" t="str">
        <f t="shared" si="3"/>
        <v xml:space="preserve"> </v>
      </c>
      <c r="G100" s="12" t="str">
        <f t="array" ref="G100">IF(ISBLANK(K100)," ",_xlfn.XLOOKUP(#REF!,#REF!,#REF!))</f>
        <v xml:space="preserve"> </v>
      </c>
      <c r="H100" s="13">
        <f t="shared" si="2"/>
        <v>0</v>
      </c>
      <c r="I100" s="8" t="str">
        <f t="array" ref="I100">IF(ISBLANK(K100)," ",_xlfn.XLOOKUP(#REF!,#REF!,#REF!))</f>
        <v xml:space="preserve"> </v>
      </c>
      <c r="J100" s="8" t="str">
        <f t="array" ref="J100">IF(ISBLANK(K100)," ",_xlfn.XLOOKUP(F100,Edades!$A$2:$A$101,IF(I100="F",Edades!$B$2:$B$101,Edades!$C$2:$C$101)))</f>
        <v xml:space="preserve"> </v>
      </c>
      <c r="K100" s="8"/>
      <c r="L100" s="8"/>
      <c r="M100" s="13"/>
      <c r="N100" s="8"/>
      <c r="O100" s="8"/>
      <c r="P100" s="8"/>
      <c r="Q100" s="8"/>
      <c r="R100" s="8"/>
      <c r="S100" s="8"/>
      <c r="T100" s="7"/>
      <c r="U100" s="7"/>
      <c r="V100" s="7"/>
      <c r="W100" s="7"/>
      <c r="X100" s="7"/>
      <c r="Y100" s="7"/>
      <c r="Z100" s="7"/>
      <c r="AA100" s="7"/>
    </row>
    <row r="101" spans="1:27">
      <c r="A101" s="7"/>
      <c r="B101" s="7"/>
      <c r="C101" s="7"/>
      <c r="D101" s="7"/>
      <c r="E101" s="7"/>
      <c r="F101" s="8" t="str">
        <f t="shared" si="3"/>
        <v xml:space="preserve"> </v>
      </c>
      <c r="G101" s="12" t="str">
        <f t="array" ref="G101">IF(ISBLANK(K101)," ",_xlfn.XLOOKUP(#REF!,#REF!,#REF!))</f>
        <v xml:space="preserve"> </v>
      </c>
      <c r="H101" s="13">
        <f t="shared" si="2"/>
        <v>0</v>
      </c>
      <c r="I101" s="8" t="str">
        <f t="array" ref="I101">IF(ISBLANK(K101)," ",_xlfn.XLOOKUP(#REF!,#REF!,#REF!))</f>
        <v xml:space="preserve"> </v>
      </c>
      <c r="J101" s="8" t="str">
        <f t="array" ref="J101">IF(ISBLANK(K101)," ",_xlfn.XLOOKUP(F101,Edades!$A$2:$A$101,IF(I101="F",Edades!$B$2:$B$101,Edades!$C$2:$C$101)))</f>
        <v xml:space="preserve"> </v>
      </c>
      <c r="K101" s="8"/>
      <c r="L101" s="8"/>
      <c r="M101" s="13"/>
      <c r="N101" s="8"/>
      <c r="O101" s="8"/>
      <c r="P101" s="8"/>
      <c r="Q101" s="8"/>
      <c r="R101" s="8"/>
      <c r="S101" s="8"/>
      <c r="T101" s="7"/>
      <c r="U101" s="7"/>
      <c r="V101" s="7"/>
      <c r="W101" s="7"/>
      <c r="X101" s="7"/>
      <c r="Y101" s="7"/>
      <c r="Z101" s="7"/>
      <c r="AA101" s="7"/>
    </row>
    <row r="102" spans="1:27">
      <c r="A102" s="7"/>
      <c r="B102" s="7"/>
      <c r="C102" s="7"/>
      <c r="D102" s="7"/>
      <c r="E102" s="7"/>
      <c r="F102" s="8" t="str">
        <f t="shared" si="3"/>
        <v xml:space="preserve"> </v>
      </c>
      <c r="G102" s="12" t="str">
        <f t="array" ref="G102">IF(ISBLANK(K102)," ",_xlfn.XLOOKUP(#REF!,#REF!,#REF!))</f>
        <v xml:space="preserve"> </v>
      </c>
      <c r="H102" s="13">
        <f t="shared" si="2"/>
        <v>0</v>
      </c>
      <c r="I102" s="8" t="str">
        <f t="array" ref="I102">IF(ISBLANK(K102)," ",_xlfn.XLOOKUP(#REF!,#REF!,#REF!))</f>
        <v xml:space="preserve"> </v>
      </c>
      <c r="J102" s="8" t="str">
        <f t="array" ref="J102">IF(ISBLANK(K102)," ",_xlfn.XLOOKUP(F102,Edades!$A$2:$A$101,IF(I102="F",Edades!$B$2:$B$101,Edades!$C$2:$C$101)))</f>
        <v xml:space="preserve"> </v>
      </c>
      <c r="K102" s="8"/>
      <c r="L102" s="8"/>
      <c r="M102" s="13"/>
      <c r="N102" s="8"/>
      <c r="O102" s="8"/>
      <c r="P102" s="8"/>
      <c r="Q102" s="8"/>
      <c r="R102" s="8"/>
      <c r="S102" s="8"/>
      <c r="T102" s="7"/>
      <c r="U102" s="7"/>
      <c r="V102" s="7"/>
      <c r="W102" s="7"/>
      <c r="X102" s="7"/>
      <c r="Y102" s="7"/>
      <c r="Z102" s="7"/>
      <c r="AA102" s="7"/>
    </row>
    <row r="103" spans="1:27">
      <c r="A103" s="7"/>
      <c r="B103" s="7"/>
      <c r="C103" s="7"/>
      <c r="D103" s="7"/>
      <c r="E103" s="7"/>
      <c r="F103" s="8" t="str">
        <f t="shared" si="3"/>
        <v xml:space="preserve"> </v>
      </c>
      <c r="G103" s="12" t="str">
        <f t="array" ref="G103">IF(ISBLANK(K103)," ",_xlfn.XLOOKUP(#REF!,#REF!,#REF!))</f>
        <v xml:space="preserve"> </v>
      </c>
      <c r="H103" s="13">
        <f t="shared" si="2"/>
        <v>0</v>
      </c>
      <c r="I103" s="8" t="str">
        <f t="array" ref="I103">IF(ISBLANK(K103)," ",_xlfn.XLOOKUP(#REF!,#REF!,#REF!))</f>
        <v xml:space="preserve"> </v>
      </c>
      <c r="J103" s="8" t="str">
        <f t="array" ref="J103">IF(ISBLANK(K103)," ",_xlfn.XLOOKUP(F103,Edades!$A$2:$A$101,IF(I103="F",Edades!$B$2:$B$101,Edades!$C$2:$C$101)))</f>
        <v xml:space="preserve"> </v>
      </c>
      <c r="K103" s="8"/>
      <c r="L103" s="8"/>
      <c r="M103" s="13"/>
      <c r="N103" s="8"/>
      <c r="O103" s="8"/>
      <c r="P103" s="8"/>
      <c r="Q103" s="8"/>
      <c r="R103" s="8"/>
      <c r="S103" s="8"/>
      <c r="T103" s="7"/>
      <c r="U103" s="7"/>
      <c r="V103" s="7"/>
      <c r="W103" s="7"/>
      <c r="X103" s="7"/>
      <c r="Y103" s="7"/>
      <c r="Z103" s="7"/>
      <c r="AA103" s="7"/>
    </row>
    <row r="104" spans="1:27">
      <c r="A104" s="7"/>
      <c r="B104" s="7"/>
      <c r="C104" s="7"/>
      <c r="D104" s="7"/>
      <c r="E104" s="7"/>
      <c r="F104" s="8" t="str">
        <f t="shared" si="3"/>
        <v xml:space="preserve"> </v>
      </c>
      <c r="G104" s="12" t="str">
        <f t="array" ref="G104">IF(ISBLANK(K104)," ",_xlfn.XLOOKUP(#REF!,#REF!,#REF!))</f>
        <v xml:space="preserve"> </v>
      </c>
      <c r="H104" s="13">
        <f t="shared" si="2"/>
        <v>0</v>
      </c>
      <c r="I104" s="8" t="str">
        <f t="array" ref="I104">IF(ISBLANK(K104)," ",_xlfn.XLOOKUP(#REF!,#REF!,#REF!))</f>
        <v xml:space="preserve"> </v>
      </c>
      <c r="J104" s="8" t="str">
        <f t="array" ref="J104">IF(ISBLANK(K104)," ",_xlfn.XLOOKUP(F104,Edades!$A$2:$A$101,IF(I104="F",Edades!$B$2:$B$101,Edades!$C$2:$C$101)))</f>
        <v xml:space="preserve"> </v>
      </c>
      <c r="K104" s="8"/>
      <c r="L104" s="8"/>
      <c r="M104" s="13"/>
      <c r="N104" s="8"/>
      <c r="O104" s="8"/>
      <c r="P104" s="8"/>
      <c r="Q104" s="8"/>
      <c r="R104" s="8"/>
      <c r="S104" s="8"/>
      <c r="T104" s="7"/>
      <c r="U104" s="7"/>
      <c r="V104" s="7"/>
      <c r="W104" s="7"/>
      <c r="X104" s="7"/>
      <c r="Y104" s="7"/>
      <c r="Z104" s="7"/>
      <c r="AA104" s="7"/>
    </row>
    <row r="105" spans="1:27">
      <c r="A105" s="7"/>
      <c r="B105" s="7"/>
      <c r="C105" s="7"/>
      <c r="D105" s="7"/>
      <c r="E105" s="7"/>
      <c r="F105" s="8" t="str">
        <f t="shared" si="3"/>
        <v xml:space="preserve"> </v>
      </c>
      <c r="G105" s="12" t="str">
        <f t="array" ref="G105">IF(ISBLANK(K105)," ",_xlfn.XLOOKUP(#REF!,#REF!,#REF!))</f>
        <v xml:space="preserve"> </v>
      </c>
      <c r="H105" s="13">
        <f t="shared" si="2"/>
        <v>0</v>
      </c>
      <c r="I105" s="8" t="str">
        <f t="array" ref="I105">IF(ISBLANK(K105)," ",_xlfn.XLOOKUP(#REF!,#REF!,#REF!))</f>
        <v xml:space="preserve"> </v>
      </c>
      <c r="J105" s="8" t="str">
        <f t="array" ref="J105">IF(ISBLANK(K105)," ",_xlfn.XLOOKUP(F105,Edades!$A$2:$A$101,IF(I105="F",Edades!$B$2:$B$101,Edades!$C$2:$C$101)))</f>
        <v xml:space="preserve"> </v>
      </c>
      <c r="K105" s="8"/>
      <c r="L105" s="8"/>
      <c r="M105" s="13"/>
      <c r="N105" s="8"/>
      <c r="O105" s="8"/>
      <c r="P105" s="8"/>
      <c r="Q105" s="8"/>
      <c r="R105" s="8"/>
      <c r="S105" s="8"/>
      <c r="T105" s="7"/>
      <c r="U105" s="7"/>
      <c r="V105" s="7"/>
      <c r="W105" s="7"/>
      <c r="X105" s="7"/>
      <c r="Y105" s="7"/>
      <c r="Z105" s="7"/>
      <c r="AA105" s="7"/>
    </row>
    <row r="106" spans="1:27">
      <c r="A106" s="7"/>
      <c r="B106" s="7"/>
      <c r="C106" s="7"/>
      <c r="D106" s="7"/>
      <c r="E106" s="7"/>
      <c r="F106" s="8" t="str">
        <f t="shared" si="3"/>
        <v xml:space="preserve"> </v>
      </c>
      <c r="G106" s="12" t="str">
        <f t="array" ref="G106">IF(ISBLANK(K106)," ",_xlfn.XLOOKUP(#REF!,#REF!,#REF!))</f>
        <v xml:space="preserve"> </v>
      </c>
      <c r="H106" s="13">
        <f t="shared" si="2"/>
        <v>0</v>
      </c>
      <c r="I106" s="8" t="str">
        <f t="array" ref="I106">IF(ISBLANK(K106)," ",_xlfn.XLOOKUP(#REF!,#REF!,#REF!))</f>
        <v xml:space="preserve"> </v>
      </c>
      <c r="J106" s="8" t="str">
        <f t="array" ref="J106">IF(ISBLANK(K106)," ",_xlfn.XLOOKUP(F106,Edades!$A$2:$A$101,IF(I106="F",Edades!$B$2:$B$101,Edades!$C$2:$C$101)))</f>
        <v xml:space="preserve"> </v>
      </c>
      <c r="K106" s="8"/>
      <c r="L106" s="8"/>
      <c r="M106" s="13"/>
      <c r="N106" s="8"/>
      <c r="O106" s="8"/>
      <c r="P106" s="8"/>
      <c r="Q106" s="8"/>
      <c r="R106" s="8"/>
      <c r="S106" s="8"/>
      <c r="T106" s="7"/>
      <c r="U106" s="7"/>
      <c r="V106" s="7"/>
      <c r="W106" s="7"/>
      <c r="X106" s="7"/>
      <c r="Y106" s="7"/>
      <c r="Z106" s="7"/>
      <c r="AA106" s="7"/>
    </row>
    <row r="107" spans="1:27">
      <c r="A107" s="7"/>
      <c r="B107" s="7"/>
      <c r="C107" s="7"/>
      <c r="D107" s="7"/>
      <c r="E107" s="7"/>
      <c r="F107" s="8" t="str">
        <f t="shared" si="3"/>
        <v xml:space="preserve"> </v>
      </c>
      <c r="G107" s="12" t="str">
        <f t="array" ref="G107">IF(ISBLANK(K107)," ",_xlfn.XLOOKUP(#REF!,#REF!,#REF!))</f>
        <v xml:space="preserve"> </v>
      </c>
      <c r="H107" s="13">
        <f t="shared" si="2"/>
        <v>0</v>
      </c>
      <c r="I107" s="8" t="str">
        <f t="array" ref="I107">IF(ISBLANK(K107)," ",_xlfn.XLOOKUP(#REF!,#REF!,#REF!))</f>
        <v xml:space="preserve"> </v>
      </c>
      <c r="J107" s="8" t="str">
        <f t="array" ref="J107">IF(ISBLANK(K107)," ",_xlfn.XLOOKUP(F107,Edades!$A$2:$A$101,IF(I107="F",Edades!$B$2:$B$101,Edades!$C$2:$C$101)))</f>
        <v xml:space="preserve"> </v>
      </c>
      <c r="K107" s="8"/>
      <c r="L107" s="8"/>
      <c r="M107" s="13"/>
      <c r="N107" s="8"/>
      <c r="O107" s="8"/>
      <c r="P107" s="8"/>
      <c r="Q107" s="8"/>
      <c r="R107" s="8"/>
      <c r="S107" s="8"/>
      <c r="T107" s="7"/>
      <c r="U107" s="7"/>
      <c r="V107" s="7"/>
      <c r="W107" s="7"/>
      <c r="X107" s="7"/>
      <c r="Y107" s="7"/>
      <c r="Z107" s="7"/>
      <c r="AA107" s="7"/>
    </row>
    <row r="108" spans="1:27">
      <c r="A108" s="7"/>
      <c r="B108" s="7"/>
      <c r="C108" s="7"/>
      <c r="D108" s="7"/>
      <c r="E108" s="7"/>
      <c r="F108" s="8" t="str">
        <f t="shared" si="3"/>
        <v xml:space="preserve"> </v>
      </c>
      <c r="G108" s="12" t="str">
        <f t="array" ref="G108">IF(ISBLANK(K108)," ",_xlfn.XLOOKUP(#REF!,#REF!,#REF!))</f>
        <v xml:space="preserve"> </v>
      </c>
      <c r="H108" s="13">
        <f t="shared" si="2"/>
        <v>0</v>
      </c>
      <c r="I108" s="8" t="str">
        <f t="array" ref="I108">IF(ISBLANK(K108)," ",_xlfn.XLOOKUP(#REF!,#REF!,#REF!))</f>
        <v xml:space="preserve"> </v>
      </c>
      <c r="J108" s="8" t="str">
        <f t="array" ref="J108">IF(ISBLANK(K108)," ",_xlfn.XLOOKUP(F108,Edades!$A$2:$A$101,IF(I108="F",Edades!$B$2:$B$101,Edades!$C$2:$C$101)))</f>
        <v xml:space="preserve"> </v>
      </c>
      <c r="K108" s="8"/>
      <c r="L108" s="8"/>
      <c r="M108" s="13"/>
      <c r="N108" s="8"/>
      <c r="O108" s="8"/>
      <c r="P108" s="8"/>
      <c r="Q108" s="8"/>
      <c r="R108" s="8"/>
      <c r="S108" s="8"/>
      <c r="T108" s="7"/>
      <c r="U108" s="7"/>
      <c r="V108" s="7"/>
      <c r="W108" s="7"/>
      <c r="X108" s="7"/>
      <c r="Y108" s="7"/>
      <c r="Z108" s="7"/>
      <c r="AA108" s="7"/>
    </row>
    <row r="109" spans="1:27">
      <c r="A109" s="7"/>
      <c r="B109" s="7"/>
      <c r="C109" s="7"/>
      <c r="D109" s="7"/>
      <c r="E109" s="7"/>
      <c r="F109" s="8" t="str">
        <f t="shared" si="3"/>
        <v xml:space="preserve"> </v>
      </c>
      <c r="G109" s="12" t="str">
        <f t="array" ref="G109">IF(ISBLANK(K109)," ",_xlfn.XLOOKUP(#REF!,#REF!,#REF!))</f>
        <v xml:space="preserve"> </v>
      </c>
      <c r="H109" s="13">
        <f t="shared" si="2"/>
        <v>0</v>
      </c>
      <c r="I109" s="8" t="str">
        <f t="array" ref="I109">IF(ISBLANK(K109)," ",_xlfn.XLOOKUP(#REF!,#REF!,#REF!))</f>
        <v xml:space="preserve"> </v>
      </c>
      <c r="J109" s="8" t="str">
        <f t="array" ref="J109">IF(ISBLANK(K109)," ",_xlfn.XLOOKUP(F109,Edades!$A$2:$A$101,IF(I109="F",Edades!$B$2:$B$101,Edades!$C$2:$C$101)))</f>
        <v xml:space="preserve"> </v>
      </c>
      <c r="K109" s="8"/>
      <c r="L109" s="8"/>
      <c r="M109" s="13"/>
      <c r="N109" s="8"/>
      <c r="O109" s="8"/>
      <c r="P109" s="8"/>
      <c r="Q109" s="8"/>
      <c r="R109" s="8"/>
      <c r="S109" s="8"/>
      <c r="T109" s="7"/>
      <c r="U109" s="7"/>
      <c r="V109" s="7"/>
      <c r="W109" s="7"/>
      <c r="X109" s="7"/>
      <c r="Y109" s="7"/>
      <c r="Z109" s="7"/>
      <c r="AA109" s="7"/>
    </row>
    <row r="110" spans="1:27">
      <c r="A110" s="7"/>
      <c r="B110" s="7"/>
      <c r="C110" s="7"/>
      <c r="D110" s="7"/>
      <c r="E110" s="7"/>
      <c r="F110" s="8" t="str">
        <f t="shared" si="3"/>
        <v xml:space="preserve"> </v>
      </c>
      <c r="G110" s="12" t="str">
        <f t="array" ref="G110">IF(ISBLANK(K110)," ",_xlfn.XLOOKUP(#REF!,#REF!,#REF!))</f>
        <v xml:space="preserve"> </v>
      </c>
      <c r="H110" s="13">
        <f t="shared" si="2"/>
        <v>0</v>
      </c>
      <c r="I110" s="8" t="str">
        <f t="array" ref="I110">IF(ISBLANK(K110)," ",_xlfn.XLOOKUP(#REF!,#REF!,#REF!))</f>
        <v xml:space="preserve"> </v>
      </c>
      <c r="J110" s="8" t="str">
        <f t="array" ref="J110">IF(ISBLANK(K110)," ",_xlfn.XLOOKUP(F110,Edades!$A$2:$A$101,IF(I110="F",Edades!$B$2:$B$101,Edades!$C$2:$C$101)))</f>
        <v xml:space="preserve"> </v>
      </c>
      <c r="K110" s="8"/>
      <c r="L110" s="8"/>
      <c r="M110" s="13"/>
      <c r="N110" s="8"/>
      <c r="O110" s="8"/>
      <c r="P110" s="8"/>
      <c r="Q110" s="8"/>
      <c r="R110" s="8"/>
      <c r="S110" s="8"/>
      <c r="T110" s="7"/>
      <c r="U110" s="7"/>
      <c r="V110" s="7"/>
      <c r="W110" s="7"/>
      <c r="X110" s="7"/>
      <c r="Y110" s="7"/>
      <c r="Z110" s="7"/>
      <c r="AA110" s="7"/>
    </row>
    <row r="111" spans="1:27">
      <c r="A111" s="7"/>
      <c r="B111" s="7"/>
      <c r="C111" s="7"/>
      <c r="D111" s="7"/>
      <c r="E111" s="7"/>
      <c r="F111" s="8" t="str">
        <f t="shared" si="3"/>
        <v xml:space="preserve"> </v>
      </c>
      <c r="G111" s="12" t="str">
        <f t="array" ref="G111">IF(ISBLANK(K111)," ",_xlfn.XLOOKUP(#REF!,#REF!,#REF!))</f>
        <v xml:space="preserve"> </v>
      </c>
      <c r="H111" s="13">
        <f t="shared" si="2"/>
        <v>0</v>
      </c>
      <c r="I111" s="8" t="str">
        <f t="array" ref="I111">IF(ISBLANK(K111)," ",_xlfn.XLOOKUP(#REF!,#REF!,#REF!))</f>
        <v xml:space="preserve"> </v>
      </c>
      <c r="J111" s="8" t="str">
        <f t="array" ref="J111">IF(ISBLANK(K111)," ",_xlfn.XLOOKUP(F111,Edades!$A$2:$A$101,IF(I111="F",Edades!$B$2:$B$101,Edades!$C$2:$C$101)))</f>
        <v xml:space="preserve"> </v>
      </c>
      <c r="K111" s="8"/>
      <c r="L111" s="8"/>
      <c r="M111" s="13"/>
      <c r="N111" s="8"/>
      <c r="O111" s="8"/>
      <c r="P111" s="8"/>
      <c r="Q111" s="8"/>
      <c r="R111" s="8"/>
      <c r="S111" s="8"/>
      <c r="T111" s="7"/>
      <c r="U111" s="7"/>
      <c r="V111" s="7"/>
      <c r="W111" s="7"/>
      <c r="X111" s="7"/>
      <c r="Y111" s="7"/>
      <c r="Z111" s="7"/>
      <c r="AA111" s="7"/>
    </row>
    <row r="112" spans="1:27">
      <c r="A112" s="7"/>
      <c r="B112" s="7"/>
      <c r="C112" s="7"/>
      <c r="D112" s="7"/>
      <c r="E112" s="7"/>
      <c r="F112" s="8" t="str">
        <f t="shared" si="3"/>
        <v xml:space="preserve"> </v>
      </c>
      <c r="G112" s="12" t="str">
        <f t="array" ref="G112">IF(ISBLANK(K112)," ",_xlfn.XLOOKUP(#REF!,#REF!,#REF!))</f>
        <v xml:space="preserve"> </v>
      </c>
      <c r="H112" s="13">
        <f t="shared" si="2"/>
        <v>0</v>
      </c>
      <c r="I112" s="8" t="str">
        <f t="array" ref="I112">IF(ISBLANK(K112)," ",_xlfn.XLOOKUP(#REF!,#REF!,#REF!))</f>
        <v xml:space="preserve"> </v>
      </c>
      <c r="J112" s="8" t="str">
        <f t="array" ref="J112">IF(ISBLANK(K112)," ",_xlfn.XLOOKUP(F112,Edades!$A$2:$A$101,IF(I112="F",Edades!$B$2:$B$101,Edades!$C$2:$C$101)))</f>
        <v xml:space="preserve"> </v>
      </c>
      <c r="K112" s="8"/>
      <c r="L112" s="8"/>
      <c r="M112" s="13"/>
      <c r="N112" s="8"/>
      <c r="O112" s="8"/>
      <c r="P112" s="8"/>
      <c r="Q112" s="8"/>
      <c r="R112" s="8"/>
      <c r="S112" s="8"/>
      <c r="T112" s="7"/>
      <c r="U112" s="7"/>
      <c r="V112" s="7"/>
      <c r="W112" s="7"/>
      <c r="X112" s="7"/>
      <c r="Y112" s="7"/>
      <c r="Z112" s="7"/>
      <c r="AA112" s="7"/>
    </row>
    <row r="113" spans="1:27">
      <c r="A113" s="7"/>
      <c r="B113" s="7"/>
      <c r="C113" s="7"/>
      <c r="D113" s="7"/>
      <c r="E113" s="7"/>
      <c r="F113" s="8" t="str">
        <f t="shared" si="3"/>
        <v xml:space="preserve"> </v>
      </c>
      <c r="G113" s="12" t="str">
        <f t="array" ref="G113">IF(ISBLANK(K113)," ",_xlfn.XLOOKUP(#REF!,#REF!,#REF!))</f>
        <v xml:space="preserve"> </v>
      </c>
      <c r="H113" s="13">
        <f t="shared" si="2"/>
        <v>0</v>
      </c>
      <c r="I113" s="8" t="str">
        <f t="array" ref="I113">IF(ISBLANK(K113)," ",_xlfn.XLOOKUP(#REF!,#REF!,#REF!))</f>
        <v xml:space="preserve"> </v>
      </c>
      <c r="J113" s="8" t="str">
        <f t="array" ref="J113">IF(ISBLANK(K113)," ",_xlfn.XLOOKUP(F113,Edades!$A$2:$A$101,IF(I113="F",Edades!$B$2:$B$101,Edades!$C$2:$C$101)))</f>
        <v xml:space="preserve"> </v>
      </c>
      <c r="K113" s="8"/>
      <c r="L113" s="8"/>
      <c r="M113" s="13"/>
      <c r="N113" s="8"/>
      <c r="O113" s="8"/>
      <c r="P113" s="8"/>
      <c r="Q113" s="8"/>
      <c r="R113" s="8"/>
      <c r="S113" s="8"/>
      <c r="T113" s="7"/>
      <c r="U113" s="7"/>
      <c r="V113" s="7"/>
      <c r="W113" s="7"/>
      <c r="X113" s="7"/>
      <c r="Y113" s="7"/>
      <c r="Z113" s="7"/>
      <c r="AA113" s="7"/>
    </row>
    <row r="114" spans="1:27">
      <c r="A114" s="7"/>
      <c r="B114" s="7"/>
      <c r="C114" s="7"/>
      <c r="D114" s="7"/>
      <c r="E114" s="7"/>
      <c r="F114" s="8" t="str">
        <f t="shared" si="3"/>
        <v xml:space="preserve"> </v>
      </c>
      <c r="G114" s="12" t="str">
        <f t="array" ref="G114">IF(ISBLANK(K114)," ",_xlfn.XLOOKUP(#REF!,#REF!,#REF!))</f>
        <v xml:space="preserve"> </v>
      </c>
      <c r="H114" s="13">
        <f t="shared" si="2"/>
        <v>0</v>
      </c>
      <c r="I114" s="8" t="str">
        <f t="array" ref="I114">IF(ISBLANK(K114)," ",_xlfn.XLOOKUP(#REF!,#REF!,#REF!))</f>
        <v xml:space="preserve"> </v>
      </c>
      <c r="J114" s="8" t="str">
        <f t="array" ref="J114">IF(ISBLANK(K114)," ",_xlfn.XLOOKUP(F114,Edades!$A$2:$A$101,IF(I114="F",Edades!$B$2:$B$101,Edades!$C$2:$C$101)))</f>
        <v xml:space="preserve"> </v>
      </c>
      <c r="K114" s="8"/>
      <c r="L114" s="8"/>
      <c r="M114" s="13"/>
      <c r="N114" s="8"/>
      <c r="O114" s="8"/>
      <c r="P114" s="8"/>
      <c r="Q114" s="8"/>
      <c r="R114" s="8"/>
      <c r="S114" s="8"/>
      <c r="T114" s="7"/>
      <c r="U114" s="7"/>
      <c r="V114" s="7"/>
      <c r="W114" s="7"/>
      <c r="X114" s="7"/>
      <c r="Y114" s="7"/>
      <c r="Z114" s="7"/>
      <c r="AA114" s="7"/>
    </row>
    <row r="115" spans="1:27">
      <c r="A115" s="7"/>
      <c r="B115" s="7"/>
      <c r="C115" s="7"/>
      <c r="D115" s="7"/>
      <c r="E115" s="7"/>
      <c r="F115" s="8" t="str">
        <f t="shared" si="3"/>
        <v xml:space="preserve"> </v>
      </c>
      <c r="G115" s="12" t="str">
        <f t="array" ref="G115">IF(ISBLANK(K115)," ",_xlfn.XLOOKUP(#REF!,#REF!,#REF!))</f>
        <v xml:space="preserve"> </v>
      </c>
      <c r="H115" s="13">
        <f t="shared" si="2"/>
        <v>0</v>
      </c>
      <c r="I115" s="8" t="str">
        <f t="array" ref="I115">IF(ISBLANK(K115)," ",_xlfn.XLOOKUP(#REF!,#REF!,#REF!))</f>
        <v xml:space="preserve"> </v>
      </c>
      <c r="J115" s="8" t="str">
        <f t="array" ref="J115">IF(ISBLANK(K115)," ",_xlfn.XLOOKUP(F115,Edades!$A$2:$A$101,IF(I115="F",Edades!$B$2:$B$101,Edades!$C$2:$C$101)))</f>
        <v xml:space="preserve"> </v>
      </c>
      <c r="K115" s="8"/>
      <c r="L115" s="8"/>
      <c r="M115" s="13"/>
      <c r="N115" s="8"/>
      <c r="O115" s="8"/>
      <c r="P115" s="8"/>
      <c r="Q115" s="8"/>
      <c r="R115" s="8"/>
      <c r="S115" s="8"/>
      <c r="T115" s="7"/>
      <c r="U115" s="7"/>
      <c r="V115" s="7"/>
      <c r="W115" s="7"/>
      <c r="X115" s="7"/>
      <c r="Y115" s="7"/>
      <c r="Z115" s="7"/>
      <c r="AA115" s="7"/>
    </row>
    <row r="116" spans="1:27">
      <c r="A116" s="7"/>
      <c r="B116" s="7"/>
      <c r="C116" s="7"/>
      <c r="D116" s="7"/>
      <c r="E116" s="7"/>
      <c r="F116" s="8" t="str">
        <f t="shared" si="3"/>
        <v xml:space="preserve"> </v>
      </c>
      <c r="G116" s="12" t="str">
        <f t="array" ref="G116">IF(ISBLANK(K116)," ",_xlfn.XLOOKUP(#REF!,#REF!,#REF!))</f>
        <v xml:space="preserve"> </v>
      </c>
      <c r="H116" s="13">
        <f t="shared" si="2"/>
        <v>0</v>
      </c>
      <c r="I116" s="8" t="str">
        <f t="array" ref="I116">IF(ISBLANK(K116)," ",_xlfn.XLOOKUP(#REF!,#REF!,#REF!))</f>
        <v xml:space="preserve"> </v>
      </c>
      <c r="J116" s="8" t="str">
        <f t="array" ref="J116">IF(ISBLANK(K116)," ",_xlfn.XLOOKUP(F116,Edades!$A$2:$A$101,IF(I116="F",Edades!$B$2:$B$101,Edades!$C$2:$C$101)))</f>
        <v xml:space="preserve"> </v>
      </c>
      <c r="K116" s="8"/>
      <c r="L116" s="8"/>
      <c r="M116" s="13"/>
      <c r="N116" s="8"/>
      <c r="O116" s="8"/>
      <c r="P116" s="8"/>
      <c r="Q116" s="8"/>
      <c r="R116" s="8"/>
      <c r="S116" s="8"/>
      <c r="T116" s="7"/>
      <c r="U116" s="7"/>
      <c r="V116" s="7"/>
      <c r="W116" s="7"/>
      <c r="X116" s="7"/>
      <c r="Y116" s="7"/>
      <c r="Z116" s="7"/>
      <c r="AA116" s="7"/>
    </row>
    <row r="117" spans="1:27">
      <c r="A117" s="7"/>
      <c r="B117" s="7"/>
      <c r="C117" s="7"/>
      <c r="D117" s="7"/>
      <c r="E117" s="7"/>
      <c r="F117" s="8" t="str">
        <f t="shared" si="3"/>
        <v xml:space="preserve"> </v>
      </c>
      <c r="G117" s="12" t="str">
        <f t="array" ref="G117">IF(ISBLANK(K117)," ",_xlfn.XLOOKUP(#REF!,#REF!,#REF!))</f>
        <v xml:space="preserve"> </v>
      </c>
      <c r="H117" s="13">
        <f t="shared" si="2"/>
        <v>0</v>
      </c>
      <c r="I117" s="8" t="str">
        <f t="array" ref="I117">IF(ISBLANK(K117)," ",_xlfn.XLOOKUP(#REF!,#REF!,#REF!))</f>
        <v xml:space="preserve"> </v>
      </c>
      <c r="J117" s="8" t="str">
        <f t="array" ref="J117">IF(ISBLANK(K117)," ",_xlfn.XLOOKUP(F117,Edades!$A$2:$A$101,IF(I117="F",Edades!$B$2:$B$101,Edades!$C$2:$C$101)))</f>
        <v xml:space="preserve"> </v>
      </c>
      <c r="K117" s="8"/>
      <c r="L117" s="8"/>
      <c r="M117" s="13"/>
      <c r="N117" s="8"/>
      <c r="O117" s="8"/>
      <c r="P117" s="8"/>
      <c r="Q117" s="8"/>
      <c r="R117" s="8"/>
      <c r="S117" s="8"/>
      <c r="T117" s="7"/>
      <c r="U117" s="7"/>
      <c r="V117" s="7"/>
      <c r="W117" s="7"/>
      <c r="X117" s="7"/>
      <c r="Y117" s="7"/>
      <c r="Z117" s="7"/>
      <c r="AA117" s="7"/>
    </row>
    <row r="118" spans="1:27">
      <c r="A118" s="7"/>
      <c r="B118" s="7"/>
      <c r="C118" s="7"/>
      <c r="D118" s="7"/>
      <c r="E118" s="7"/>
      <c r="F118" s="8" t="str">
        <f t="shared" si="3"/>
        <v xml:space="preserve"> </v>
      </c>
      <c r="G118" s="12" t="str">
        <f t="array" ref="G118">IF(ISBLANK(K118)," ",_xlfn.XLOOKUP(#REF!,#REF!,#REF!))</f>
        <v xml:space="preserve"> </v>
      </c>
      <c r="H118" s="13">
        <f t="shared" si="2"/>
        <v>0</v>
      </c>
      <c r="I118" s="8" t="str">
        <f t="array" ref="I118">IF(ISBLANK(K118)," ",_xlfn.XLOOKUP(#REF!,#REF!,#REF!))</f>
        <v xml:space="preserve"> </v>
      </c>
      <c r="J118" s="8" t="str">
        <f t="array" ref="J118">IF(ISBLANK(K118)," ",_xlfn.XLOOKUP(F118,Edades!$A$2:$A$101,IF(I118="F",Edades!$B$2:$B$101,Edades!$C$2:$C$101)))</f>
        <v xml:space="preserve"> </v>
      </c>
      <c r="K118" s="8"/>
      <c r="L118" s="8"/>
      <c r="M118" s="13"/>
      <c r="N118" s="8"/>
      <c r="O118" s="8"/>
      <c r="P118" s="8"/>
      <c r="Q118" s="8"/>
      <c r="R118" s="8"/>
      <c r="S118" s="8"/>
      <c r="T118" s="7"/>
      <c r="U118" s="7"/>
      <c r="V118" s="7"/>
      <c r="W118" s="7"/>
      <c r="X118" s="7"/>
      <c r="Y118" s="7"/>
      <c r="Z118" s="7"/>
      <c r="AA118" s="7"/>
    </row>
    <row r="119" spans="1:27">
      <c r="A119" s="7"/>
      <c r="B119" s="7"/>
      <c r="C119" s="7"/>
      <c r="D119" s="7"/>
      <c r="E119" s="7"/>
      <c r="F119" s="8" t="str">
        <f t="shared" si="3"/>
        <v xml:space="preserve"> </v>
      </c>
      <c r="G119" s="12" t="str">
        <f t="array" ref="G119">IF(ISBLANK(K119)," ",_xlfn.XLOOKUP(#REF!,#REF!,#REF!))</f>
        <v xml:space="preserve"> </v>
      </c>
      <c r="H119" s="13">
        <f t="shared" si="2"/>
        <v>0</v>
      </c>
      <c r="I119" s="8" t="str">
        <f t="array" ref="I119">IF(ISBLANK(K119)," ",_xlfn.XLOOKUP(#REF!,#REF!,#REF!))</f>
        <v xml:space="preserve"> </v>
      </c>
      <c r="J119" s="8" t="str">
        <f t="array" ref="J119">IF(ISBLANK(K119)," ",_xlfn.XLOOKUP(F119,Edades!$A$2:$A$101,IF(I119="F",Edades!$B$2:$B$101,Edades!$C$2:$C$101)))</f>
        <v xml:space="preserve"> </v>
      </c>
      <c r="K119" s="8"/>
      <c r="L119" s="8"/>
      <c r="M119" s="13"/>
      <c r="N119" s="8"/>
      <c r="O119" s="8"/>
      <c r="P119" s="8"/>
      <c r="Q119" s="8"/>
      <c r="R119" s="8"/>
      <c r="S119" s="8"/>
      <c r="T119" s="7"/>
      <c r="U119" s="7"/>
      <c r="V119" s="7"/>
      <c r="W119" s="7"/>
      <c r="X119" s="7"/>
      <c r="Y119" s="7"/>
      <c r="Z119" s="7"/>
      <c r="AA119" s="7"/>
    </row>
    <row r="120" spans="1:27">
      <c r="A120" s="7"/>
      <c r="B120" s="7"/>
      <c r="C120" s="7"/>
      <c r="D120" s="7"/>
      <c r="E120" s="7"/>
      <c r="F120" s="8" t="str">
        <f t="shared" si="3"/>
        <v xml:space="preserve"> </v>
      </c>
      <c r="G120" s="12" t="str">
        <f t="array" ref="G120">IF(ISBLANK(K120)," ",_xlfn.XLOOKUP(#REF!,#REF!,#REF!))</f>
        <v xml:space="preserve"> </v>
      </c>
      <c r="H120" s="13">
        <f t="shared" si="2"/>
        <v>0</v>
      </c>
      <c r="I120" s="8" t="str">
        <f t="array" ref="I120">IF(ISBLANK(K120)," ",_xlfn.XLOOKUP(#REF!,#REF!,#REF!))</f>
        <v xml:space="preserve"> </v>
      </c>
      <c r="J120" s="8" t="str">
        <f t="array" ref="J120">IF(ISBLANK(K120)," ",_xlfn.XLOOKUP(F120,Edades!$A$2:$A$101,IF(I120="F",Edades!$B$2:$B$101,Edades!$C$2:$C$101)))</f>
        <v xml:space="preserve"> </v>
      </c>
      <c r="K120" s="8"/>
      <c r="L120" s="8"/>
      <c r="M120" s="13"/>
      <c r="N120" s="8"/>
      <c r="O120" s="8"/>
      <c r="P120" s="8"/>
      <c r="Q120" s="8"/>
      <c r="R120" s="8"/>
      <c r="S120" s="8"/>
      <c r="T120" s="7"/>
      <c r="U120" s="7"/>
      <c r="V120" s="7"/>
      <c r="W120" s="7"/>
      <c r="X120" s="7"/>
      <c r="Y120" s="7"/>
      <c r="Z120" s="7"/>
      <c r="AA120" s="7"/>
    </row>
    <row r="121" spans="1:27">
      <c r="A121" s="7"/>
      <c r="B121" s="7"/>
      <c r="C121" s="7"/>
      <c r="D121" s="7"/>
      <c r="E121" s="7"/>
      <c r="F121" s="8" t="str">
        <f t="shared" si="3"/>
        <v xml:space="preserve"> </v>
      </c>
      <c r="G121" s="12" t="str">
        <f t="array" ref="G121">IF(ISBLANK(K121)," ",_xlfn.XLOOKUP(#REF!,#REF!,#REF!))</f>
        <v xml:space="preserve"> </v>
      </c>
      <c r="H121" s="13">
        <f t="shared" si="2"/>
        <v>0</v>
      </c>
      <c r="I121" s="8" t="str">
        <f t="array" ref="I121">IF(ISBLANK(K121)," ",_xlfn.XLOOKUP(#REF!,#REF!,#REF!))</f>
        <v xml:space="preserve"> </v>
      </c>
      <c r="J121" s="8" t="str">
        <f t="array" ref="J121">IF(ISBLANK(K121)," ",_xlfn.XLOOKUP(F121,Edades!$A$2:$A$101,IF(I121="F",Edades!$B$2:$B$101,Edades!$C$2:$C$101)))</f>
        <v xml:space="preserve"> </v>
      </c>
      <c r="K121" s="8"/>
      <c r="L121" s="8"/>
      <c r="M121" s="13"/>
      <c r="N121" s="8"/>
      <c r="O121" s="8"/>
      <c r="P121" s="8"/>
      <c r="Q121" s="8"/>
      <c r="R121" s="8"/>
      <c r="S121" s="8"/>
      <c r="T121" s="7"/>
      <c r="U121" s="7"/>
      <c r="V121" s="7"/>
      <c r="W121" s="7"/>
      <c r="X121" s="7"/>
      <c r="Y121" s="7"/>
      <c r="Z121" s="7"/>
      <c r="AA121" s="7"/>
    </row>
    <row r="122" spans="1:27">
      <c r="A122" s="7"/>
      <c r="B122" s="7"/>
      <c r="C122" s="7"/>
      <c r="D122" s="7"/>
      <c r="E122" s="7"/>
      <c r="F122" s="8" t="str">
        <f t="shared" si="3"/>
        <v xml:space="preserve"> </v>
      </c>
      <c r="G122" s="12" t="str">
        <f t="array" ref="G122">IF(ISBLANK(K122)," ",_xlfn.XLOOKUP(#REF!,#REF!,#REF!))</f>
        <v xml:space="preserve"> </v>
      </c>
      <c r="H122" s="13">
        <f t="shared" si="2"/>
        <v>0</v>
      </c>
      <c r="I122" s="8" t="str">
        <f t="array" ref="I122">IF(ISBLANK(K122)," ",_xlfn.XLOOKUP(#REF!,#REF!,#REF!))</f>
        <v xml:space="preserve"> </v>
      </c>
      <c r="J122" s="8" t="str">
        <f t="array" ref="J122">IF(ISBLANK(K122)," ",_xlfn.XLOOKUP(F122,Edades!$A$2:$A$101,IF(I122="F",Edades!$B$2:$B$101,Edades!$C$2:$C$101)))</f>
        <v xml:space="preserve"> </v>
      </c>
      <c r="K122" s="8"/>
      <c r="L122" s="8"/>
      <c r="M122" s="13"/>
      <c r="N122" s="8"/>
      <c r="O122" s="8"/>
      <c r="P122" s="8"/>
      <c r="Q122" s="8"/>
      <c r="R122" s="8"/>
      <c r="S122" s="8"/>
      <c r="T122" s="7"/>
      <c r="U122" s="7"/>
      <c r="V122" s="7"/>
      <c r="W122" s="7"/>
      <c r="X122" s="7"/>
      <c r="Y122" s="7"/>
      <c r="Z122" s="7"/>
      <c r="AA122" s="7"/>
    </row>
    <row r="123" spans="1:27">
      <c r="A123" s="7"/>
      <c r="B123" s="7"/>
      <c r="C123" s="7"/>
      <c r="D123" s="7"/>
      <c r="E123" s="7"/>
      <c r="F123" s="8" t="str">
        <f t="shared" si="3"/>
        <v xml:space="preserve"> </v>
      </c>
      <c r="G123" s="12" t="str">
        <f t="array" ref="G123">IF(ISBLANK(K123)," ",_xlfn.XLOOKUP(#REF!,#REF!,#REF!))</f>
        <v xml:space="preserve"> </v>
      </c>
      <c r="H123" s="13">
        <f t="shared" si="2"/>
        <v>0</v>
      </c>
      <c r="I123" s="8" t="str">
        <f t="array" ref="I123">IF(ISBLANK(K123)," ",_xlfn.XLOOKUP(#REF!,#REF!,#REF!))</f>
        <v xml:space="preserve"> </v>
      </c>
      <c r="J123" s="8" t="str">
        <f t="array" ref="J123">IF(ISBLANK(K123)," ",_xlfn.XLOOKUP(F123,Edades!$A$2:$A$101,IF(I123="F",Edades!$B$2:$B$101,Edades!$C$2:$C$101)))</f>
        <v xml:space="preserve"> </v>
      </c>
      <c r="K123" s="8"/>
      <c r="L123" s="8"/>
      <c r="M123" s="13"/>
      <c r="N123" s="8"/>
      <c r="O123" s="8"/>
      <c r="P123" s="8"/>
      <c r="Q123" s="8"/>
      <c r="R123" s="8"/>
      <c r="S123" s="8"/>
      <c r="T123" s="7"/>
      <c r="U123" s="7"/>
      <c r="V123" s="7"/>
      <c r="W123" s="7"/>
      <c r="X123" s="7"/>
      <c r="Y123" s="7"/>
      <c r="Z123" s="7"/>
      <c r="AA123" s="7"/>
    </row>
    <row r="124" spans="1:27">
      <c r="A124" s="7"/>
      <c r="B124" s="7"/>
      <c r="C124" s="7"/>
      <c r="D124" s="7"/>
      <c r="E124" s="7"/>
      <c r="F124" s="8" t="str">
        <f t="shared" si="3"/>
        <v xml:space="preserve"> </v>
      </c>
      <c r="G124" s="12" t="str">
        <f t="array" ref="G124">IF(ISBLANK(K124)," ",_xlfn.XLOOKUP(#REF!,#REF!,#REF!))</f>
        <v xml:space="preserve"> </v>
      </c>
      <c r="H124" s="13">
        <f t="shared" si="2"/>
        <v>0</v>
      </c>
      <c r="I124" s="8" t="str">
        <f t="array" ref="I124">IF(ISBLANK(K124)," ",_xlfn.XLOOKUP(#REF!,#REF!,#REF!))</f>
        <v xml:space="preserve"> </v>
      </c>
      <c r="J124" s="8" t="str">
        <f t="array" ref="J124">IF(ISBLANK(K124)," ",_xlfn.XLOOKUP(F124,Edades!$A$2:$A$101,IF(I124="F",Edades!$B$2:$B$101,Edades!$C$2:$C$101)))</f>
        <v xml:space="preserve"> </v>
      </c>
      <c r="K124" s="8"/>
      <c r="L124" s="8"/>
      <c r="M124" s="13"/>
      <c r="N124" s="8"/>
      <c r="O124" s="8"/>
      <c r="P124" s="8"/>
      <c r="Q124" s="8"/>
      <c r="R124" s="8"/>
      <c r="S124" s="8"/>
      <c r="T124" s="7"/>
      <c r="U124" s="7"/>
      <c r="V124" s="7"/>
      <c r="W124" s="7"/>
      <c r="X124" s="7"/>
      <c r="Y124" s="7"/>
      <c r="Z124" s="7"/>
      <c r="AA124" s="7"/>
    </row>
    <row r="125" spans="1:27">
      <c r="A125" s="7"/>
      <c r="B125" s="7"/>
      <c r="C125" s="7"/>
      <c r="D125" s="7"/>
      <c r="E125" s="7"/>
      <c r="F125" s="8" t="str">
        <f t="shared" si="3"/>
        <v xml:space="preserve"> </v>
      </c>
      <c r="G125" s="12" t="str">
        <f t="array" ref="G125">IF(ISBLANK(K125)," ",_xlfn.XLOOKUP(#REF!,#REF!,#REF!))</f>
        <v xml:space="preserve"> </v>
      </c>
      <c r="H125" s="13">
        <f t="shared" si="2"/>
        <v>0</v>
      </c>
      <c r="I125" s="8" t="str">
        <f t="array" ref="I125">IF(ISBLANK(K125)," ",_xlfn.XLOOKUP(#REF!,#REF!,#REF!))</f>
        <v xml:space="preserve"> </v>
      </c>
      <c r="J125" s="8" t="str">
        <f t="array" ref="J125">IF(ISBLANK(K125)," ",_xlfn.XLOOKUP(F125,Edades!$A$2:$A$101,IF(I125="F",Edades!$B$2:$B$101,Edades!$C$2:$C$101)))</f>
        <v xml:space="preserve"> </v>
      </c>
      <c r="K125" s="8"/>
      <c r="L125" s="8"/>
      <c r="M125" s="13"/>
      <c r="N125" s="8"/>
      <c r="O125" s="8"/>
      <c r="P125" s="8"/>
      <c r="Q125" s="8"/>
      <c r="R125" s="8"/>
      <c r="S125" s="8"/>
      <c r="T125" s="7"/>
      <c r="U125" s="7"/>
      <c r="V125" s="7"/>
      <c r="W125" s="7"/>
      <c r="X125" s="7"/>
      <c r="Y125" s="7"/>
      <c r="Z125" s="7"/>
      <c r="AA125" s="7"/>
    </row>
    <row r="126" spans="1:27">
      <c r="A126" s="7"/>
      <c r="B126" s="7"/>
      <c r="C126" s="7"/>
      <c r="D126" s="7"/>
      <c r="E126" s="7"/>
      <c r="F126" s="8" t="str">
        <f t="shared" si="3"/>
        <v xml:space="preserve"> </v>
      </c>
      <c r="G126" s="12" t="str">
        <f t="array" ref="G126">IF(ISBLANK(K126)," ",_xlfn.XLOOKUP(#REF!,#REF!,#REF!))</f>
        <v xml:space="preserve"> </v>
      </c>
      <c r="H126" s="13">
        <f t="shared" si="2"/>
        <v>0</v>
      </c>
      <c r="I126" s="8" t="str">
        <f t="array" ref="I126">IF(ISBLANK(K126)," ",_xlfn.XLOOKUP(#REF!,#REF!,#REF!))</f>
        <v xml:space="preserve"> </v>
      </c>
      <c r="J126" s="8" t="str">
        <f t="array" ref="J126">IF(ISBLANK(K126)," ",_xlfn.XLOOKUP(F126,Edades!$A$2:$A$101,IF(I126="F",Edades!$B$2:$B$101,Edades!$C$2:$C$101)))</f>
        <v xml:space="preserve"> </v>
      </c>
      <c r="K126" s="8"/>
      <c r="L126" s="8"/>
      <c r="M126" s="13"/>
      <c r="N126" s="8"/>
      <c r="O126" s="8"/>
      <c r="P126" s="8"/>
      <c r="Q126" s="8"/>
      <c r="R126" s="8"/>
      <c r="S126" s="8"/>
      <c r="T126" s="7"/>
      <c r="U126" s="7"/>
      <c r="V126" s="7"/>
      <c r="W126" s="7"/>
      <c r="X126" s="7"/>
      <c r="Y126" s="7"/>
      <c r="Z126" s="7"/>
      <c r="AA126" s="7"/>
    </row>
    <row r="127" spans="1:27">
      <c r="A127" s="7"/>
      <c r="B127" s="7"/>
      <c r="C127" s="7"/>
      <c r="D127" s="7"/>
      <c r="E127" s="7"/>
      <c r="F127" s="8" t="str">
        <f t="shared" si="3"/>
        <v xml:space="preserve"> </v>
      </c>
      <c r="G127" s="12" t="str">
        <f t="array" ref="G127">IF(ISBLANK(K127)," ",_xlfn.XLOOKUP(#REF!,#REF!,#REF!))</f>
        <v xml:space="preserve"> </v>
      </c>
      <c r="H127" s="13">
        <f t="shared" si="2"/>
        <v>0</v>
      </c>
      <c r="I127" s="8" t="str">
        <f t="array" ref="I127">IF(ISBLANK(K127)," ",_xlfn.XLOOKUP(#REF!,#REF!,#REF!))</f>
        <v xml:space="preserve"> </v>
      </c>
      <c r="J127" s="8" t="str">
        <f t="array" ref="J127">IF(ISBLANK(K127)," ",_xlfn.XLOOKUP(F127,Edades!$A$2:$A$101,IF(I127="F",Edades!$B$2:$B$101,Edades!$C$2:$C$101)))</f>
        <v xml:space="preserve"> </v>
      </c>
      <c r="K127" s="8"/>
      <c r="L127" s="8"/>
      <c r="M127" s="13"/>
      <c r="N127" s="8"/>
      <c r="O127" s="8"/>
      <c r="P127" s="8"/>
      <c r="Q127" s="8"/>
      <c r="R127" s="8"/>
      <c r="S127" s="8"/>
      <c r="T127" s="7"/>
      <c r="U127" s="7"/>
      <c r="V127" s="7"/>
      <c r="W127" s="7"/>
      <c r="X127" s="7"/>
      <c r="Y127" s="7"/>
      <c r="Z127" s="7"/>
      <c r="AA127" s="7"/>
    </row>
    <row r="128" spans="1:27">
      <c r="A128" s="7"/>
      <c r="B128" s="7"/>
      <c r="C128" s="7"/>
      <c r="D128" s="7"/>
      <c r="E128" s="7"/>
      <c r="F128" s="8" t="str">
        <f t="shared" si="3"/>
        <v xml:space="preserve"> </v>
      </c>
      <c r="G128" s="12" t="str">
        <f t="array" ref="G128">IF(ISBLANK(K128)," ",_xlfn.XLOOKUP(#REF!,#REF!,#REF!))</f>
        <v xml:space="preserve"> </v>
      </c>
      <c r="H128" s="13">
        <f t="shared" si="2"/>
        <v>0</v>
      </c>
      <c r="I128" s="8" t="str">
        <f t="array" ref="I128">IF(ISBLANK(K128)," ",_xlfn.XLOOKUP(#REF!,#REF!,#REF!))</f>
        <v xml:space="preserve"> </v>
      </c>
      <c r="J128" s="8" t="str">
        <f t="array" ref="J128">IF(ISBLANK(K128)," ",_xlfn.XLOOKUP(F128,Edades!$A$2:$A$101,IF(I128="F",Edades!$B$2:$B$101,Edades!$C$2:$C$101)))</f>
        <v xml:space="preserve"> </v>
      </c>
      <c r="K128" s="8"/>
      <c r="L128" s="8"/>
      <c r="M128" s="13"/>
      <c r="N128" s="8"/>
      <c r="O128" s="8"/>
      <c r="P128" s="8"/>
      <c r="Q128" s="8"/>
      <c r="R128" s="8"/>
      <c r="S128" s="8"/>
      <c r="T128" s="7"/>
      <c r="U128" s="7"/>
      <c r="V128" s="7"/>
      <c r="W128" s="7"/>
      <c r="X128" s="7"/>
      <c r="Y128" s="7"/>
      <c r="Z128" s="7"/>
      <c r="AA128" s="7"/>
    </row>
    <row r="129" spans="1:27">
      <c r="A129" s="7"/>
      <c r="B129" s="7"/>
      <c r="C129" s="7"/>
      <c r="D129" s="7"/>
      <c r="E129" s="7"/>
      <c r="F129" s="8" t="str">
        <f t="shared" si="3"/>
        <v xml:space="preserve"> </v>
      </c>
      <c r="G129" s="12" t="str">
        <f t="array" ref="G129">IF(ISBLANK(K129)," ",_xlfn.XLOOKUP(#REF!,#REF!,#REF!))</f>
        <v xml:space="preserve"> </v>
      </c>
      <c r="H129" s="13">
        <f t="shared" si="2"/>
        <v>0</v>
      </c>
      <c r="I129" s="8" t="str">
        <f t="array" ref="I129">IF(ISBLANK(K129)," ",_xlfn.XLOOKUP(#REF!,#REF!,#REF!))</f>
        <v xml:space="preserve"> </v>
      </c>
      <c r="J129" s="8" t="str">
        <f t="array" ref="J129">IF(ISBLANK(K129)," ",_xlfn.XLOOKUP(F129,Edades!$A$2:$A$101,IF(I129="F",Edades!$B$2:$B$101,Edades!$C$2:$C$101)))</f>
        <v xml:space="preserve"> </v>
      </c>
      <c r="K129" s="8"/>
      <c r="L129" s="8"/>
      <c r="M129" s="13"/>
      <c r="N129" s="8"/>
      <c r="O129" s="8"/>
      <c r="P129" s="8"/>
      <c r="Q129" s="8"/>
      <c r="R129" s="8"/>
      <c r="S129" s="8"/>
      <c r="T129" s="7"/>
      <c r="U129" s="7"/>
      <c r="V129" s="7"/>
      <c r="W129" s="7"/>
      <c r="X129" s="7"/>
      <c r="Y129" s="7"/>
      <c r="Z129" s="7"/>
      <c r="AA129" s="7"/>
    </row>
    <row r="130" spans="1:27">
      <c r="A130" s="7"/>
      <c r="B130" s="7"/>
      <c r="C130" s="7"/>
      <c r="D130" s="7"/>
      <c r="E130" s="7"/>
      <c r="F130" s="8" t="str">
        <f t="shared" si="3"/>
        <v xml:space="preserve"> </v>
      </c>
      <c r="G130" s="12" t="str">
        <f t="array" ref="G130">IF(ISBLANK(K130)," ",_xlfn.XLOOKUP(#REF!,#REF!,#REF!))</f>
        <v xml:space="preserve"> </v>
      </c>
      <c r="H130" s="13">
        <f t="shared" si="2"/>
        <v>0</v>
      </c>
      <c r="I130" s="8" t="str">
        <f t="array" ref="I130">IF(ISBLANK(K130)," ",_xlfn.XLOOKUP(#REF!,#REF!,#REF!))</f>
        <v xml:space="preserve"> </v>
      </c>
      <c r="J130" s="8" t="str">
        <f t="array" ref="J130">IF(ISBLANK(K130)," ",_xlfn.XLOOKUP(F130,Edades!$A$2:$A$101,IF(I130="F",Edades!$B$2:$B$101,Edades!$C$2:$C$101)))</f>
        <v xml:space="preserve"> </v>
      </c>
      <c r="K130" s="8"/>
      <c r="L130" s="8"/>
      <c r="M130" s="13"/>
      <c r="N130" s="8"/>
      <c r="O130" s="8"/>
      <c r="P130" s="8"/>
      <c r="Q130" s="8"/>
      <c r="R130" s="8"/>
      <c r="S130" s="8"/>
      <c r="T130" s="7"/>
      <c r="U130" s="7"/>
      <c r="V130" s="7"/>
      <c r="W130" s="7"/>
      <c r="X130" s="7"/>
      <c r="Y130" s="7"/>
      <c r="Z130" s="7"/>
      <c r="AA130" s="7"/>
    </row>
    <row r="131" spans="1:27">
      <c r="A131" s="7"/>
      <c r="B131" s="7"/>
      <c r="C131" s="7"/>
      <c r="D131" s="7"/>
      <c r="E131" s="7"/>
      <c r="F131" s="8" t="str">
        <f t="shared" si="3"/>
        <v xml:space="preserve"> </v>
      </c>
      <c r="G131" s="12" t="str">
        <f t="array" ref="G131">IF(ISBLANK(K131)," ",_xlfn.XLOOKUP(#REF!,#REF!,#REF!))</f>
        <v xml:space="preserve"> </v>
      </c>
      <c r="H131" s="13">
        <f t="shared" si="2"/>
        <v>0</v>
      </c>
      <c r="I131" s="8" t="str">
        <f t="array" ref="I131">IF(ISBLANK(K131)," ",_xlfn.XLOOKUP(#REF!,#REF!,#REF!))</f>
        <v xml:space="preserve"> </v>
      </c>
      <c r="J131" s="8" t="str">
        <f t="array" ref="J131">IF(ISBLANK(K131)," ",_xlfn.XLOOKUP(F131,Edades!$A$2:$A$101,IF(I131="F",Edades!$B$2:$B$101,Edades!$C$2:$C$101)))</f>
        <v xml:space="preserve"> </v>
      </c>
      <c r="K131" s="8"/>
      <c r="L131" s="8"/>
      <c r="M131" s="13"/>
      <c r="N131" s="8"/>
      <c r="O131" s="8"/>
      <c r="P131" s="8"/>
      <c r="Q131" s="8"/>
      <c r="R131" s="8"/>
      <c r="S131" s="8"/>
      <c r="T131" s="7"/>
      <c r="U131" s="7"/>
      <c r="V131" s="7"/>
      <c r="W131" s="7"/>
      <c r="X131" s="7"/>
      <c r="Y131" s="7"/>
      <c r="Z131" s="7"/>
      <c r="AA131" s="7"/>
    </row>
    <row r="132" spans="1:27">
      <c r="A132" s="7"/>
      <c r="B132" s="7"/>
      <c r="C132" s="7"/>
      <c r="D132" s="7"/>
      <c r="E132" s="7"/>
      <c r="F132" s="8" t="str">
        <f t="shared" si="3"/>
        <v xml:space="preserve"> </v>
      </c>
      <c r="G132" s="12" t="str">
        <f t="array" ref="G132">IF(ISBLANK(K132)," ",_xlfn.XLOOKUP(#REF!,#REF!,#REF!))</f>
        <v xml:space="preserve"> </v>
      </c>
      <c r="H132" s="13">
        <f t="shared" si="2"/>
        <v>0</v>
      </c>
      <c r="I132" s="8" t="str">
        <f t="array" ref="I132">IF(ISBLANK(K132)," ",_xlfn.XLOOKUP(#REF!,#REF!,#REF!))</f>
        <v xml:space="preserve"> </v>
      </c>
      <c r="J132" s="8" t="str">
        <f t="array" ref="J132">IF(ISBLANK(K132)," ",_xlfn.XLOOKUP(F132,Edades!$A$2:$A$101,IF(I132="F",Edades!$B$2:$B$101,Edades!$C$2:$C$101)))</f>
        <v xml:space="preserve"> </v>
      </c>
      <c r="K132" s="8"/>
      <c r="L132" s="8"/>
      <c r="M132" s="13"/>
      <c r="N132" s="8"/>
      <c r="O132" s="8"/>
      <c r="P132" s="8"/>
      <c r="Q132" s="8"/>
      <c r="R132" s="8"/>
      <c r="S132" s="8"/>
      <c r="T132" s="7"/>
      <c r="U132" s="7"/>
      <c r="V132" s="7"/>
      <c r="W132" s="7"/>
      <c r="X132" s="7"/>
      <c r="Y132" s="7"/>
      <c r="Z132" s="7"/>
      <c r="AA132" s="7"/>
    </row>
    <row r="133" spans="1:27">
      <c r="A133" s="7"/>
      <c r="B133" s="7"/>
      <c r="C133" s="7"/>
      <c r="D133" s="7"/>
      <c r="E133" s="7"/>
      <c r="F133" s="8" t="str">
        <f t="shared" si="3"/>
        <v xml:space="preserve"> </v>
      </c>
      <c r="G133" s="12" t="str">
        <f t="array" ref="G133">IF(ISBLANK(K133)," ",_xlfn.XLOOKUP(#REF!,#REF!,#REF!))</f>
        <v xml:space="preserve"> </v>
      </c>
      <c r="H133" s="13">
        <f t="shared" si="2"/>
        <v>0</v>
      </c>
      <c r="I133" s="8" t="str">
        <f t="array" ref="I133">IF(ISBLANK(K133)," ",_xlfn.XLOOKUP(#REF!,#REF!,#REF!))</f>
        <v xml:space="preserve"> </v>
      </c>
      <c r="J133" s="8" t="str">
        <f t="array" ref="J133">IF(ISBLANK(K133)," ",_xlfn.XLOOKUP(F133,Edades!$A$2:$A$101,IF(I133="F",Edades!$B$2:$B$101,Edades!$C$2:$C$101)))</f>
        <v xml:space="preserve"> </v>
      </c>
      <c r="K133" s="8"/>
      <c r="L133" s="8"/>
      <c r="M133" s="13"/>
      <c r="N133" s="8"/>
      <c r="O133" s="8"/>
      <c r="P133" s="8"/>
      <c r="Q133" s="8"/>
      <c r="R133" s="8"/>
      <c r="S133" s="8"/>
      <c r="T133" s="7"/>
      <c r="U133" s="7"/>
      <c r="V133" s="7"/>
      <c r="W133" s="7"/>
      <c r="X133" s="7"/>
      <c r="Y133" s="7"/>
      <c r="Z133" s="7"/>
      <c r="AA133" s="7"/>
    </row>
    <row r="134" spans="1:27">
      <c r="A134" s="7"/>
      <c r="B134" s="7"/>
      <c r="C134" s="7"/>
      <c r="D134" s="7"/>
      <c r="E134" s="7"/>
      <c r="F134" s="8" t="str">
        <f t="shared" si="3"/>
        <v xml:space="preserve"> </v>
      </c>
      <c r="G134" s="12" t="str">
        <f t="array" ref="G134">IF(ISBLANK(K134)," ",_xlfn.XLOOKUP(#REF!,#REF!,#REF!))</f>
        <v xml:space="preserve"> </v>
      </c>
      <c r="H134" s="13">
        <f t="shared" si="2"/>
        <v>0</v>
      </c>
      <c r="I134" s="8" t="str">
        <f t="array" ref="I134">IF(ISBLANK(K134)," ",_xlfn.XLOOKUP(#REF!,#REF!,#REF!))</f>
        <v xml:space="preserve"> </v>
      </c>
      <c r="J134" s="8" t="str">
        <f t="array" ref="J134">IF(ISBLANK(K134)," ",_xlfn.XLOOKUP(F134,Edades!$A$2:$A$101,IF(I134="F",Edades!$B$2:$B$101,Edades!$C$2:$C$101)))</f>
        <v xml:space="preserve"> </v>
      </c>
      <c r="K134" s="8"/>
      <c r="L134" s="8"/>
      <c r="M134" s="13"/>
      <c r="N134" s="8"/>
      <c r="O134" s="8"/>
      <c r="P134" s="8"/>
      <c r="Q134" s="8"/>
      <c r="R134" s="8"/>
      <c r="S134" s="8"/>
      <c r="T134" s="7"/>
      <c r="U134" s="7"/>
      <c r="V134" s="7"/>
      <c r="W134" s="7"/>
      <c r="X134" s="7"/>
      <c r="Y134" s="7"/>
      <c r="Z134" s="7"/>
      <c r="AA134" s="7"/>
    </row>
    <row r="135" spans="1:27">
      <c r="A135" s="7"/>
      <c r="B135" s="7"/>
      <c r="C135" s="7"/>
      <c r="D135" s="7"/>
      <c r="E135" s="7"/>
      <c r="F135" s="8" t="str">
        <f t="shared" si="3"/>
        <v xml:space="preserve"> </v>
      </c>
      <c r="G135" s="12" t="str">
        <f t="array" ref="G135">IF(ISBLANK(K135)," ",_xlfn.XLOOKUP(#REF!,#REF!,#REF!))</f>
        <v xml:space="preserve"> </v>
      </c>
      <c r="H135" s="13">
        <f t="shared" si="2"/>
        <v>0</v>
      </c>
      <c r="I135" s="8" t="str">
        <f t="array" ref="I135">IF(ISBLANK(K135)," ",_xlfn.XLOOKUP(#REF!,#REF!,#REF!))</f>
        <v xml:space="preserve"> </v>
      </c>
      <c r="J135" s="8" t="str">
        <f t="array" ref="J135">IF(ISBLANK(K135)," ",_xlfn.XLOOKUP(F135,Edades!$A$2:$A$101,IF(I135="F",Edades!$B$2:$B$101,Edades!$C$2:$C$101)))</f>
        <v xml:space="preserve"> </v>
      </c>
      <c r="K135" s="8"/>
      <c r="L135" s="8"/>
      <c r="M135" s="13"/>
      <c r="N135" s="8"/>
      <c r="O135" s="8"/>
      <c r="P135" s="8"/>
      <c r="Q135" s="8"/>
      <c r="R135" s="8"/>
      <c r="S135" s="8"/>
      <c r="T135" s="7"/>
      <c r="U135" s="7"/>
      <c r="V135" s="7"/>
      <c r="W135" s="7"/>
      <c r="X135" s="7"/>
      <c r="Y135" s="7"/>
      <c r="Z135" s="7"/>
      <c r="AA135" s="7"/>
    </row>
    <row r="136" spans="1:27">
      <c r="A136" s="7"/>
      <c r="B136" s="7"/>
      <c r="C136" s="7"/>
      <c r="D136" s="7"/>
      <c r="E136" s="7"/>
      <c r="F136" s="8" t="str">
        <f t="shared" si="3"/>
        <v xml:space="preserve"> </v>
      </c>
      <c r="G136" s="12" t="str">
        <f t="array" ref="G136">IF(ISBLANK(K136)," ",_xlfn.XLOOKUP(#REF!,#REF!,#REF!))</f>
        <v xml:space="preserve"> </v>
      </c>
      <c r="H136" s="13">
        <f t="shared" si="2"/>
        <v>0</v>
      </c>
      <c r="I136" s="8" t="str">
        <f t="array" ref="I136">IF(ISBLANK(K136)," ",_xlfn.XLOOKUP(#REF!,#REF!,#REF!))</f>
        <v xml:space="preserve"> </v>
      </c>
      <c r="J136" s="8" t="str">
        <f t="array" ref="J136">IF(ISBLANK(K136)," ",_xlfn.XLOOKUP(F136,Edades!$A$2:$A$101,IF(I136="F",Edades!$B$2:$B$101,Edades!$C$2:$C$101)))</f>
        <v xml:space="preserve"> </v>
      </c>
      <c r="K136" s="8"/>
      <c r="L136" s="8"/>
      <c r="M136" s="13"/>
      <c r="N136" s="8"/>
      <c r="O136" s="8"/>
      <c r="P136" s="8"/>
      <c r="Q136" s="8"/>
      <c r="R136" s="8"/>
      <c r="S136" s="8"/>
      <c r="T136" s="7"/>
      <c r="U136" s="7"/>
      <c r="V136" s="7"/>
      <c r="W136" s="7"/>
      <c r="X136" s="7"/>
      <c r="Y136" s="7"/>
      <c r="Z136" s="7"/>
      <c r="AA136" s="7"/>
    </row>
    <row r="137" spans="1:27">
      <c r="A137" s="7"/>
      <c r="B137" s="7"/>
      <c r="C137" s="7"/>
      <c r="D137" s="7"/>
      <c r="E137" s="7"/>
      <c r="F137" s="8" t="str">
        <f t="shared" si="3"/>
        <v xml:space="preserve"> </v>
      </c>
      <c r="G137" s="12" t="str">
        <f t="array" ref="G137">IF(ISBLANK(K137)," ",_xlfn.XLOOKUP(#REF!,#REF!,#REF!))</f>
        <v xml:space="preserve"> </v>
      </c>
      <c r="H137" s="13">
        <f t="shared" si="2"/>
        <v>0</v>
      </c>
      <c r="I137" s="8" t="str">
        <f t="array" ref="I137">IF(ISBLANK(K137)," ",_xlfn.XLOOKUP(#REF!,#REF!,#REF!))</f>
        <v xml:space="preserve"> </v>
      </c>
      <c r="J137" s="8" t="str">
        <f t="array" ref="J137">IF(ISBLANK(K137)," ",_xlfn.XLOOKUP(F137,Edades!$A$2:$A$101,IF(I137="F",Edades!$B$2:$B$101,Edades!$C$2:$C$101)))</f>
        <v xml:space="preserve"> </v>
      </c>
      <c r="K137" s="8"/>
      <c r="L137" s="8"/>
      <c r="M137" s="13"/>
      <c r="N137" s="8"/>
      <c r="O137" s="8"/>
      <c r="P137" s="8"/>
      <c r="Q137" s="8"/>
      <c r="R137" s="8"/>
      <c r="S137" s="8"/>
      <c r="T137" s="7"/>
      <c r="U137" s="7"/>
      <c r="V137" s="7"/>
      <c r="W137" s="7"/>
      <c r="X137" s="7"/>
      <c r="Y137" s="7"/>
      <c r="Z137" s="7"/>
      <c r="AA137" s="7"/>
    </row>
    <row r="138" spans="1:27">
      <c r="A138" s="7"/>
      <c r="B138" s="7"/>
      <c r="C138" s="7"/>
      <c r="D138" s="7"/>
      <c r="E138" s="7"/>
      <c r="F138" s="8" t="str">
        <f t="shared" si="3"/>
        <v xml:space="preserve"> </v>
      </c>
      <c r="G138" s="12" t="str">
        <f t="array" ref="G138">IF(ISBLANK(K138)," ",_xlfn.XLOOKUP(#REF!,#REF!,#REF!))</f>
        <v xml:space="preserve"> </v>
      </c>
      <c r="H138" s="13">
        <f t="shared" si="2"/>
        <v>0</v>
      </c>
      <c r="I138" s="8" t="str">
        <f t="array" ref="I138">IF(ISBLANK(K138)," ",_xlfn.XLOOKUP(#REF!,#REF!,#REF!))</f>
        <v xml:space="preserve"> </v>
      </c>
      <c r="J138" s="8" t="str">
        <f t="array" ref="J138">IF(ISBLANK(K138)," ",_xlfn.XLOOKUP(F138,Edades!$A$2:$A$101,IF(I138="F",Edades!$B$2:$B$101,Edades!$C$2:$C$101)))</f>
        <v xml:space="preserve"> </v>
      </c>
      <c r="K138" s="8"/>
      <c r="L138" s="8"/>
      <c r="M138" s="13"/>
      <c r="N138" s="8"/>
      <c r="O138" s="8"/>
      <c r="P138" s="8"/>
      <c r="Q138" s="8"/>
      <c r="R138" s="8"/>
      <c r="S138" s="8"/>
      <c r="T138" s="7"/>
      <c r="U138" s="7"/>
      <c r="V138" s="7"/>
      <c r="W138" s="7"/>
      <c r="X138" s="7"/>
      <c r="Y138" s="7"/>
      <c r="Z138" s="7"/>
      <c r="AA138" s="7"/>
    </row>
    <row r="139" spans="1:27">
      <c r="A139" s="7"/>
      <c r="B139" s="7"/>
      <c r="C139" s="7"/>
      <c r="D139" s="7"/>
      <c r="E139" s="7"/>
      <c r="F139" s="8" t="str">
        <f t="shared" si="3"/>
        <v xml:space="preserve"> </v>
      </c>
      <c r="G139" s="12" t="str">
        <f t="array" ref="G139">IF(ISBLANK(K139)," ",_xlfn.XLOOKUP(#REF!,#REF!,#REF!))</f>
        <v xml:space="preserve"> </v>
      </c>
      <c r="H139" s="13">
        <f t="shared" si="2"/>
        <v>0</v>
      </c>
      <c r="I139" s="8" t="str">
        <f t="array" ref="I139">IF(ISBLANK(K139)," ",_xlfn.XLOOKUP(#REF!,#REF!,#REF!))</f>
        <v xml:space="preserve"> </v>
      </c>
      <c r="J139" s="8" t="str">
        <f t="array" ref="J139">IF(ISBLANK(K139)," ",_xlfn.XLOOKUP(F139,Edades!$A$2:$A$101,IF(I139="F",Edades!$B$2:$B$101,Edades!$C$2:$C$101)))</f>
        <v xml:space="preserve"> </v>
      </c>
      <c r="K139" s="8"/>
      <c r="L139" s="8"/>
      <c r="M139" s="13"/>
      <c r="N139" s="8"/>
      <c r="O139" s="8"/>
      <c r="P139" s="8"/>
      <c r="Q139" s="8"/>
      <c r="R139" s="8"/>
      <c r="S139" s="8"/>
      <c r="T139" s="7"/>
      <c r="U139" s="7"/>
      <c r="V139" s="7"/>
      <c r="W139" s="7"/>
      <c r="X139" s="7"/>
      <c r="Y139" s="7"/>
      <c r="Z139" s="7"/>
      <c r="AA139" s="7"/>
    </row>
    <row r="140" spans="1:27">
      <c r="A140" s="7"/>
      <c r="B140" s="7"/>
      <c r="C140" s="7"/>
      <c r="D140" s="7"/>
      <c r="E140" s="7"/>
      <c r="F140" s="8" t="str">
        <f t="shared" si="3"/>
        <v xml:space="preserve"> </v>
      </c>
      <c r="G140" s="12" t="str">
        <f t="array" ref="G140">IF(ISBLANK(K140)," ",_xlfn.XLOOKUP(#REF!,#REF!,#REF!))</f>
        <v xml:space="preserve"> </v>
      </c>
      <c r="H140" s="13">
        <f t="shared" si="2"/>
        <v>0</v>
      </c>
      <c r="I140" s="8" t="str">
        <f t="array" ref="I140">IF(ISBLANK(K140)," ",_xlfn.XLOOKUP(#REF!,#REF!,#REF!))</f>
        <v xml:space="preserve"> </v>
      </c>
      <c r="J140" s="8" t="str">
        <f t="array" ref="J140">IF(ISBLANK(K140)," ",_xlfn.XLOOKUP(F140,Edades!$A$2:$A$101,IF(I140="F",Edades!$B$2:$B$101,Edades!$C$2:$C$101)))</f>
        <v xml:space="preserve"> </v>
      </c>
      <c r="K140" s="8"/>
      <c r="L140" s="8"/>
      <c r="M140" s="13"/>
      <c r="N140" s="8"/>
      <c r="O140" s="8"/>
      <c r="P140" s="8"/>
      <c r="Q140" s="8"/>
      <c r="R140" s="8"/>
      <c r="S140" s="8"/>
      <c r="T140" s="7"/>
      <c r="U140" s="7"/>
      <c r="V140" s="7"/>
      <c r="W140" s="7"/>
      <c r="X140" s="7"/>
      <c r="Y140" s="7"/>
      <c r="Z140" s="7"/>
      <c r="AA140" s="7"/>
    </row>
    <row r="141" spans="1:27">
      <c r="A141" s="7"/>
      <c r="B141" s="7"/>
      <c r="C141" s="7"/>
      <c r="D141" s="7"/>
      <c r="E141" s="7"/>
      <c r="F141" s="8" t="str">
        <f t="shared" si="3"/>
        <v xml:space="preserve"> </v>
      </c>
      <c r="G141" s="12" t="str">
        <f t="array" ref="G141">IF(ISBLANK(K141)," ",_xlfn.XLOOKUP(#REF!,#REF!,#REF!))</f>
        <v xml:space="preserve"> </v>
      </c>
      <c r="H141" s="13">
        <f t="shared" si="2"/>
        <v>0</v>
      </c>
      <c r="I141" s="8" t="str">
        <f t="array" ref="I141">IF(ISBLANK(K141)," ",_xlfn.XLOOKUP(#REF!,#REF!,#REF!))</f>
        <v xml:space="preserve"> </v>
      </c>
      <c r="J141" s="8" t="str">
        <f t="array" ref="J141">IF(ISBLANK(K141)," ",_xlfn.XLOOKUP(F141,Edades!$A$2:$A$101,IF(I141="F",Edades!$B$2:$B$101,Edades!$C$2:$C$101)))</f>
        <v xml:space="preserve"> </v>
      </c>
      <c r="K141" s="8"/>
      <c r="L141" s="8"/>
      <c r="M141" s="13"/>
      <c r="N141" s="8"/>
      <c r="O141" s="8"/>
      <c r="P141" s="8"/>
      <c r="Q141" s="8"/>
      <c r="R141" s="8"/>
      <c r="S141" s="8"/>
      <c r="T141" s="7"/>
      <c r="U141" s="7"/>
      <c r="V141" s="7"/>
      <c r="W141" s="7"/>
      <c r="X141" s="7"/>
      <c r="Y141" s="7"/>
      <c r="Z141" s="7"/>
      <c r="AA141" s="7"/>
    </row>
    <row r="142" spans="1:27">
      <c r="A142" s="7"/>
      <c r="B142" s="7"/>
      <c r="C142" s="7"/>
      <c r="D142" s="7"/>
      <c r="E142" s="7"/>
      <c r="F142" s="8" t="str">
        <f t="shared" si="3"/>
        <v xml:space="preserve"> </v>
      </c>
      <c r="G142" s="12" t="str">
        <f t="array" ref="G142">IF(ISBLANK(K142)," ",_xlfn.XLOOKUP(#REF!,#REF!,#REF!))</f>
        <v xml:space="preserve"> </v>
      </c>
      <c r="H142" s="13">
        <f t="shared" si="2"/>
        <v>0</v>
      </c>
      <c r="I142" s="8" t="str">
        <f t="array" ref="I142">IF(ISBLANK(K142)," ",_xlfn.XLOOKUP(#REF!,#REF!,#REF!))</f>
        <v xml:space="preserve"> </v>
      </c>
      <c r="J142" s="8" t="str">
        <f t="array" ref="J142">IF(ISBLANK(K142)," ",_xlfn.XLOOKUP(F142,Edades!$A$2:$A$101,IF(I142="F",Edades!$B$2:$B$101,Edades!$C$2:$C$101)))</f>
        <v xml:space="preserve"> </v>
      </c>
      <c r="K142" s="8"/>
      <c r="L142" s="8"/>
      <c r="M142" s="13"/>
      <c r="N142" s="8"/>
      <c r="O142" s="8"/>
      <c r="P142" s="8"/>
      <c r="Q142" s="8"/>
      <c r="R142" s="8"/>
      <c r="S142" s="8"/>
      <c r="T142" s="7"/>
      <c r="U142" s="7"/>
      <c r="V142" s="7"/>
      <c r="W142" s="7"/>
      <c r="X142" s="7"/>
      <c r="Y142" s="7"/>
      <c r="Z142" s="7"/>
      <c r="AA142" s="7"/>
    </row>
    <row r="143" spans="1:27">
      <c r="A143" s="7"/>
      <c r="B143" s="7"/>
      <c r="C143" s="7"/>
      <c r="D143" s="7"/>
      <c r="E143" s="7"/>
      <c r="F143" s="8" t="str">
        <f t="shared" si="3"/>
        <v xml:space="preserve"> </v>
      </c>
      <c r="G143" s="12" t="str">
        <f t="array" ref="G143">IF(ISBLANK(K143)," ",_xlfn.XLOOKUP(#REF!,#REF!,#REF!))</f>
        <v xml:space="preserve"> </v>
      </c>
      <c r="H143" s="13">
        <f t="shared" si="2"/>
        <v>0</v>
      </c>
      <c r="I143" s="8" t="str">
        <f t="array" ref="I143">IF(ISBLANK(K143)," ",_xlfn.XLOOKUP(#REF!,#REF!,#REF!))</f>
        <v xml:space="preserve"> </v>
      </c>
      <c r="J143" s="8" t="str">
        <f t="array" ref="J143">IF(ISBLANK(K143)," ",_xlfn.XLOOKUP(F143,Edades!$A$2:$A$101,IF(I143="F",Edades!$B$2:$B$101,Edades!$C$2:$C$101)))</f>
        <v xml:space="preserve"> </v>
      </c>
      <c r="K143" s="8"/>
      <c r="L143" s="8"/>
      <c r="M143" s="13"/>
      <c r="N143" s="8"/>
      <c r="O143" s="8"/>
      <c r="P143" s="8"/>
      <c r="Q143" s="8"/>
      <c r="R143" s="8"/>
      <c r="S143" s="8"/>
      <c r="T143" s="7"/>
      <c r="U143" s="7"/>
      <c r="V143" s="7"/>
      <c r="W143" s="7"/>
      <c r="X143" s="7"/>
      <c r="Y143" s="7"/>
      <c r="Z143" s="7"/>
      <c r="AA143" s="7"/>
    </row>
    <row r="144" spans="1:27">
      <c r="A144" s="7"/>
      <c r="B144" s="7"/>
      <c r="C144" s="7"/>
      <c r="D144" s="7"/>
      <c r="E144" s="7"/>
      <c r="F144" s="8" t="str">
        <f t="shared" si="3"/>
        <v xml:space="preserve"> </v>
      </c>
      <c r="G144" s="12" t="str">
        <f t="array" ref="G144">IF(ISBLANK(K144)," ",_xlfn.XLOOKUP(#REF!,#REF!,#REF!))</f>
        <v xml:space="preserve"> </v>
      </c>
      <c r="H144" s="13">
        <f t="shared" si="2"/>
        <v>0</v>
      </c>
      <c r="I144" s="8" t="str">
        <f t="array" ref="I144">IF(ISBLANK(K144)," ",_xlfn.XLOOKUP(#REF!,#REF!,#REF!))</f>
        <v xml:space="preserve"> </v>
      </c>
      <c r="J144" s="8" t="str">
        <f t="array" ref="J144">IF(ISBLANK(K144)," ",_xlfn.XLOOKUP(F144,Edades!$A$2:$A$101,IF(I144="F",Edades!$B$2:$B$101,Edades!$C$2:$C$101)))</f>
        <v xml:space="preserve"> </v>
      </c>
      <c r="K144" s="8"/>
      <c r="L144" s="8"/>
      <c r="M144" s="13"/>
      <c r="N144" s="8"/>
      <c r="O144" s="8"/>
      <c r="P144" s="8"/>
      <c r="Q144" s="8"/>
      <c r="R144" s="8"/>
      <c r="S144" s="8"/>
      <c r="T144" s="7"/>
      <c r="U144" s="7"/>
      <c r="V144" s="7"/>
      <c r="W144" s="7"/>
      <c r="X144" s="7"/>
      <c r="Y144" s="7"/>
      <c r="Z144" s="7"/>
      <c r="AA144" s="7"/>
    </row>
    <row r="145" spans="1:27">
      <c r="A145" s="7"/>
      <c r="B145" s="7"/>
      <c r="C145" s="7"/>
      <c r="D145" s="7"/>
      <c r="E145" s="7"/>
      <c r="F145" s="8" t="str">
        <f t="shared" si="3"/>
        <v xml:space="preserve"> </v>
      </c>
      <c r="G145" s="12" t="str">
        <f t="array" ref="G145">IF(ISBLANK(K145)," ",_xlfn.XLOOKUP(#REF!,#REF!,#REF!))</f>
        <v xml:space="preserve"> </v>
      </c>
      <c r="H145" s="13">
        <f t="shared" si="2"/>
        <v>0</v>
      </c>
      <c r="I145" s="8" t="str">
        <f t="array" ref="I145">IF(ISBLANK(K145)," ",_xlfn.XLOOKUP(#REF!,#REF!,#REF!))</f>
        <v xml:space="preserve"> </v>
      </c>
      <c r="J145" s="8" t="str">
        <f t="array" ref="J145">IF(ISBLANK(K145)," ",_xlfn.XLOOKUP(F145,Edades!$A$2:$A$101,IF(I145="F",Edades!$B$2:$B$101,Edades!$C$2:$C$101)))</f>
        <v xml:space="preserve"> </v>
      </c>
      <c r="K145" s="8"/>
      <c r="L145" s="8"/>
      <c r="M145" s="13"/>
      <c r="N145" s="8"/>
      <c r="O145" s="8"/>
      <c r="P145" s="8"/>
      <c r="Q145" s="8"/>
      <c r="R145" s="8"/>
      <c r="S145" s="8"/>
      <c r="T145" s="7"/>
      <c r="U145" s="7"/>
      <c r="V145" s="7"/>
      <c r="W145" s="7"/>
      <c r="X145" s="7"/>
      <c r="Y145" s="7"/>
      <c r="Z145" s="7"/>
      <c r="AA145" s="7"/>
    </row>
    <row r="146" spans="1:27">
      <c r="A146" s="7"/>
      <c r="B146" s="7"/>
      <c r="C146" s="7"/>
      <c r="D146" s="7"/>
      <c r="E146" s="7"/>
      <c r="F146" s="8" t="str">
        <f t="shared" si="3"/>
        <v xml:space="preserve"> </v>
      </c>
      <c r="G146" s="12" t="str">
        <f t="array" ref="G146">IF(ISBLANK(K146)," ",_xlfn.XLOOKUP(#REF!,#REF!,#REF!))</f>
        <v xml:space="preserve"> </v>
      </c>
      <c r="H146" s="13">
        <f t="shared" si="2"/>
        <v>0</v>
      </c>
      <c r="I146" s="8" t="str">
        <f t="array" ref="I146">IF(ISBLANK(K146)," ",_xlfn.XLOOKUP(#REF!,#REF!,#REF!))</f>
        <v xml:space="preserve"> </v>
      </c>
      <c r="J146" s="8" t="str">
        <f t="array" ref="J146">IF(ISBLANK(K146)," ",_xlfn.XLOOKUP(F146,Edades!$A$2:$A$101,IF(I146="F",Edades!$B$2:$B$101,Edades!$C$2:$C$101)))</f>
        <v xml:space="preserve"> </v>
      </c>
      <c r="K146" s="8"/>
      <c r="L146" s="8"/>
      <c r="M146" s="13"/>
      <c r="N146" s="8"/>
      <c r="O146" s="8"/>
      <c r="P146" s="8"/>
      <c r="Q146" s="8"/>
      <c r="R146" s="8"/>
      <c r="S146" s="8"/>
      <c r="T146" s="7"/>
      <c r="U146" s="7"/>
      <c r="V146" s="7"/>
      <c r="W146" s="7"/>
      <c r="X146" s="7"/>
      <c r="Y146" s="7"/>
      <c r="Z146" s="7"/>
      <c r="AA146" s="7"/>
    </row>
    <row r="147" spans="1:27">
      <c r="A147" s="7"/>
      <c r="B147" s="7"/>
      <c r="C147" s="7"/>
      <c r="D147" s="7"/>
      <c r="E147" s="7"/>
      <c r="F147" s="8" t="str">
        <f t="shared" si="3"/>
        <v xml:space="preserve"> </v>
      </c>
      <c r="G147" s="12" t="str">
        <f t="array" ref="G147">IF(ISBLANK(K147)," ",_xlfn.XLOOKUP(#REF!,#REF!,#REF!))</f>
        <v xml:space="preserve"> </v>
      </c>
      <c r="H147" s="13">
        <f t="shared" si="2"/>
        <v>0</v>
      </c>
      <c r="I147" s="8" t="str">
        <f t="array" ref="I147">IF(ISBLANK(K147)," ",_xlfn.XLOOKUP(#REF!,#REF!,#REF!))</f>
        <v xml:space="preserve"> </v>
      </c>
      <c r="J147" s="8" t="str">
        <f t="array" ref="J147">IF(ISBLANK(K147)," ",_xlfn.XLOOKUP(F147,Edades!$A$2:$A$101,IF(I147="F",Edades!$B$2:$B$101,Edades!$C$2:$C$101)))</f>
        <v xml:space="preserve"> </v>
      </c>
      <c r="K147" s="8"/>
      <c r="L147" s="8"/>
      <c r="M147" s="13"/>
      <c r="N147" s="8"/>
      <c r="O147" s="8"/>
      <c r="P147" s="8"/>
      <c r="Q147" s="8"/>
      <c r="R147" s="8"/>
      <c r="S147" s="8"/>
      <c r="T147" s="7"/>
      <c r="U147" s="7"/>
      <c r="V147" s="7"/>
      <c r="W147" s="7"/>
      <c r="X147" s="7"/>
      <c r="Y147" s="7"/>
      <c r="Z147" s="7"/>
      <c r="AA147" s="7"/>
    </row>
    <row r="148" spans="1:27">
      <c r="A148" s="7"/>
      <c r="B148" s="7"/>
      <c r="C148" s="7"/>
      <c r="D148" s="7"/>
      <c r="E148" s="7"/>
      <c r="F148" s="8" t="str">
        <f t="shared" si="3"/>
        <v xml:space="preserve"> </v>
      </c>
      <c r="G148" s="12" t="str">
        <f t="array" ref="G148">IF(ISBLANK(K148)," ",_xlfn.XLOOKUP(#REF!,#REF!,#REF!))</f>
        <v xml:space="preserve"> </v>
      </c>
      <c r="H148" s="13">
        <f t="shared" si="2"/>
        <v>0</v>
      </c>
      <c r="I148" s="8" t="str">
        <f t="array" ref="I148">IF(ISBLANK(K148)," ",_xlfn.XLOOKUP(#REF!,#REF!,#REF!))</f>
        <v xml:space="preserve"> </v>
      </c>
      <c r="J148" s="8" t="str">
        <f t="array" ref="J148">IF(ISBLANK(K148)," ",_xlfn.XLOOKUP(F148,Edades!$A$2:$A$101,IF(I148="F",Edades!$B$2:$B$101,Edades!$C$2:$C$101)))</f>
        <v xml:space="preserve"> </v>
      </c>
      <c r="K148" s="8"/>
      <c r="L148" s="8"/>
      <c r="M148" s="13"/>
      <c r="N148" s="8"/>
      <c r="O148" s="8"/>
      <c r="P148" s="8"/>
      <c r="Q148" s="8"/>
      <c r="R148" s="8"/>
      <c r="S148" s="8"/>
      <c r="T148" s="7"/>
      <c r="U148" s="7"/>
      <c r="V148" s="7"/>
      <c r="W148" s="7"/>
      <c r="X148" s="7"/>
      <c r="Y148" s="7"/>
      <c r="Z148" s="7"/>
      <c r="AA148" s="7"/>
    </row>
    <row r="149" spans="1:27">
      <c r="A149" s="7"/>
      <c r="B149" s="7"/>
      <c r="C149" s="7"/>
      <c r="D149" s="7"/>
      <c r="E149" s="7"/>
      <c r="F149" s="8" t="str">
        <f t="shared" si="3"/>
        <v xml:space="preserve"> </v>
      </c>
      <c r="G149" s="12" t="str">
        <f t="array" ref="G149">IF(ISBLANK(K149)," ",_xlfn.XLOOKUP(#REF!,#REF!,#REF!))</f>
        <v xml:space="preserve"> </v>
      </c>
      <c r="H149" s="13">
        <f t="shared" si="2"/>
        <v>0</v>
      </c>
      <c r="I149" s="8" t="str">
        <f t="array" ref="I149">IF(ISBLANK(K149)," ",_xlfn.XLOOKUP(#REF!,#REF!,#REF!))</f>
        <v xml:space="preserve"> </v>
      </c>
      <c r="J149" s="8" t="str">
        <f t="array" ref="J149">IF(ISBLANK(K149)," ",_xlfn.XLOOKUP(F149,Edades!$A$2:$A$101,IF(I149="F",Edades!$B$2:$B$101,Edades!$C$2:$C$101)))</f>
        <v xml:space="preserve"> </v>
      </c>
      <c r="K149" s="8"/>
      <c r="L149" s="8"/>
      <c r="M149" s="13"/>
      <c r="N149" s="8"/>
      <c r="O149" s="8"/>
      <c r="P149" s="8"/>
      <c r="Q149" s="8"/>
      <c r="R149" s="8"/>
      <c r="S149" s="8"/>
      <c r="T149" s="7"/>
      <c r="U149" s="7"/>
      <c r="V149" s="7"/>
      <c r="W149" s="7"/>
      <c r="X149" s="7"/>
      <c r="Y149" s="7"/>
      <c r="Z149" s="7"/>
      <c r="AA149" s="7"/>
    </row>
    <row r="150" spans="1:27">
      <c r="A150" s="7"/>
      <c r="B150" s="7"/>
      <c r="C150" s="7"/>
      <c r="D150" s="7"/>
      <c r="E150" s="7"/>
      <c r="F150" s="8" t="str">
        <f t="shared" si="3"/>
        <v xml:space="preserve"> </v>
      </c>
      <c r="G150" s="12" t="str">
        <f t="array" ref="G150">IF(ISBLANK(K150)," ",_xlfn.XLOOKUP(#REF!,#REF!,#REF!))</f>
        <v xml:space="preserve"> </v>
      </c>
      <c r="H150" s="13">
        <f t="shared" si="2"/>
        <v>0</v>
      </c>
      <c r="I150" s="8" t="str">
        <f t="array" ref="I150">IF(ISBLANK(K150)," ",_xlfn.XLOOKUP(#REF!,#REF!,#REF!))</f>
        <v xml:space="preserve"> </v>
      </c>
      <c r="J150" s="8" t="str">
        <f t="array" ref="J150">IF(ISBLANK(K150)," ",_xlfn.XLOOKUP(F150,Edades!$A$2:$A$101,IF(I150="F",Edades!$B$2:$B$101,Edades!$C$2:$C$101)))</f>
        <v xml:space="preserve"> </v>
      </c>
      <c r="K150" s="8"/>
      <c r="L150" s="8"/>
      <c r="M150" s="13"/>
      <c r="N150" s="8"/>
      <c r="O150" s="8"/>
      <c r="P150" s="8"/>
      <c r="Q150" s="8"/>
      <c r="R150" s="8"/>
      <c r="S150" s="8"/>
      <c r="T150" s="7"/>
      <c r="U150" s="7"/>
      <c r="V150" s="7"/>
      <c r="W150" s="7"/>
      <c r="X150" s="7"/>
      <c r="Y150" s="7"/>
      <c r="Z150" s="7"/>
      <c r="AA150" s="7"/>
    </row>
    <row r="151" spans="1:27">
      <c r="A151" s="7"/>
      <c r="B151" s="7"/>
      <c r="C151" s="7"/>
      <c r="D151" s="7"/>
      <c r="E151" s="7"/>
      <c r="F151" s="8" t="str">
        <f t="shared" si="3"/>
        <v xml:space="preserve"> </v>
      </c>
      <c r="G151" s="12" t="str">
        <f t="array" ref="G151">IF(ISBLANK(K151)," ",_xlfn.XLOOKUP(#REF!,#REF!,#REF!))</f>
        <v xml:space="preserve"> </v>
      </c>
      <c r="H151" s="13">
        <f t="shared" si="2"/>
        <v>0</v>
      </c>
      <c r="I151" s="8" t="str">
        <f t="array" ref="I151">IF(ISBLANK(K151)," ",_xlfn.XLOOKUP(#REF!,#REF!,#REF!))</f>
        <v xml:space="preserve"> </v>
      </c>
      <c r="J151" s="8" t="str">
        <f t="array" ref="J151">IF(ISBLANK(K151)," ",_xlfn.XLOOKUP(F151,Edades!$A$2:$A$101,IF(I151="F",Edades!$B$2:$B$101,Edades!$C$2:$C$101)))</f>
        <v xml:space="preserve"> </v>
      </c>
      <c r="K151" s="8"/>
      <c r="L151" s="8"/>
      <c r="M151" s="13"/>
      <c r="N151" s="8"/>
      <c r="O151" s="8"/>
      <c r="P151" s="8"/>
      <c r="Q151" s="8"/>
      <c r="R151" s="8"/>
      <c r="S151" s="8"/>
      <c r="T151" s="7"/>
      <c r="U151" s="7"/>
      <c r="V151" s="7"/>
      <c r="W151" s="7"/>
      <c r="X151" s="7"/>
      <c r="Y151" s="7"/>
      <c r="Z151" s="7"/>
      <c r="AA151" s="7"/>
    </row>
    <row r="152" spans="1:27">
      <c r="A152" s="7"/>
      <c r="B152" s="7"/>
      <c r="C152" s="7"/>
      <c r="D152" s="7"/>
      <c r="E152" s="7"/>
      <c r="F152" s="8" t="str">
        <f t="shared" si="3"/>
        <v xml:space="preserve"> </v>
      </c>
      <c r="G152" s="12" t="str">
        <f t="array" ref="G152">IF(ISBLANK(K152)," ",_xlfn.XLOOKUP(#REF!,#REF!,#REF!))</f>
        <v xml:space="preserve"> </v>
      </c>
      <c r="H152" s="13">
        <f t="shared" si="2"/>
        <v>0</v>
      </c>
      <c r="I152" s="8" t="str">
        <f t="array" ref="I152">IF(ISBLANK(K152)," ",_xlfn.XLOOKUP(#REF!,#REF!,#REF!))</f>
        <v xml:space="preserve"> </v>
      </c>
      <c r="J152" s="8" t="str">
        <f t="array" ref="J152">IF(ISBLANK(K152)," ",_xlfn.XLOOKUP(F152,Edades!$A$2:$A$101,IF(I152="F",Edades!$B$2:$B$101,Edades!$C$2:$C$101)))</f>
        <v xml:space="preserve"> </v>
      </c>
      <c r="K152" s="8"/>
      <c r="L152" s="8"/>
      <c r="M152" s="13"/>
      <c r="N152" s="8"/>
      <c r="O152" s="8"/>
      <c r="P152" s="8"/>
      <c r="Q152" s="8"/>
      <c r="R152" s="8"/>
      <c r="S152" s="8"/>
      <c r="T152" s="7"/>
      <c r="U152" s="7"/>
      <c r="V152" s="7"/>
      <c r="W152" s="7"/>
      <c r="X152" s="7"/>
      <c r="Y152" s="7"/>
      <c r="Z152" s="7"/>
      <c r="AA152" s="7"/>
    </row>
    <row r="153" spans="1:27">
      <c r="A153" s="7"/>
      <c r="B153" s="7"/>
      <c r="C153" s="7"/>
      <c r="D153" s="7"/>
      <c r="E153" s="7"/>
      <c r="F153" s="8" t="str">
        <f t="shared" si="3"/>
        <v xml:space="preserve"> </v>
      </c>
      <c r="G153" s="12" t="str">
        <f t="array" ref="G153">IF(ISBLANK(K153)," ",_xlfn.XLOOKUP(#REF!,#REF!,#REF!))</f>
        <v xml:space="preserve"> </v>
      </c>
      <c r="H153" s="13">
        <f t="shared" si="2"/>
        <v>0</v>
      </c>
      <c r="I153" s="8" t="str">
        <f t="array" ref="I153">IF(ISBLANK(K153)," ",_xlfn.XLOOKUP(#REF!,#REF!,#REF!))</f>
        <v xml:space="preserve"> </v>
      </c>
      <c r="J153" s="8" t="str">
        <f t="array" ref="J153">IF(ISBLANK(K153)," ",_xlfn.XLOOKUP(F153,Edades!$A$2:$A$101,IF(I153="F",Edades!$B$2:$B$101,Edades!$C$2:$C$101)))</f>
        <v xml:space="preserve"> </v>
      </c>
      <c r="K153" s="8"/>
      <c r="L153" s="8"/>
      <c r="M153" s="13"/>
      <c r="N153" s="8"/>
      <c r="O153" s="8"/>
      <c r="P153" s="8"/>
      <c r="Q153" s="8"/>
      <c r="R153" s="8"/>
      <c r="S153" s="8"/>
      <c r="T153" s="7"/>
      <c r="U153" s="7"/>
      <c r="V153" s="7"/>
      <c r="W153" s="7"/>
      <c r="X153" s="7"/>
      <c r="Y153" s="7"/>
      <c r="Z153" s="7"/>
      <c r="AA153" s="7"/>
    </row>
    <row r="154" spans="1:27">
      <c r="A154" s="7"/>
      <c r="B154" s="7"/>
      <c r="C154" s="7"/>
      <c r="D154" s="7"/>
      <c r="E154" s="7"/>
      <c r="F154" s="8" t="str">
        <f t="shared" si="3"/>
        <v xml:space="preserve"> </v>
      </c>
      <c r="G154" s="12" t="str">
        <f t="array" ref="G154">IF(ISBLANK(K154)," ",_xlfn.XLOOKUP(#REF!,#REF!,#REF!))</f>
        <v xml:space="preserve"> </v>
      </c>
      <c r="H154" s="13">
        <f t="shared" si="2"/>
        <v>0</v>
      </c>
      <c r="I154" s="8" t="str">
        <f t="array" ref="I154">IF(ISBLANK(K154)," ",_xlfn.XLOOKUP(#REF!,#REF!,#REF!))</f>
        <v xml:space="preserve"> </v>
      </c>
      <c r="J154" s="8" t="str">
        <f t="array" ref="J154">IF(ISBLANK(K154)," ",_xlfn.XLOOKUP(F154,Edades!$A$2:$A$101,IF(I154="F",Edades!$B$2:$B$101,Edades!$C$2:$C$101)))</f>
        <v xml:space="preserve"> </v>
      </c>
      <c r="K154" s="8"/>
      <c r="L154" s="8"/>
      <c r="M154" s="13"/>
      <c r="N154" s="8"/>
      <c r="O154" s="8"/>
      <c r="P154" s="8"/>
      <c r="Q154" s="8"/>
      <c r="R154" s="8"/>
      <c r="S154" s="8"/>
      <c r="T154" s="7"/>
      <c r="U154" s="7"/>
      <c r="V154" s="7"/>
      <c r="W154" s="7"/>
      <c r="X154" s="7"/>
      <c r="Y154" s="7"/>
      <c r="Z154" s="7"/>
      <c r="AA154" s="7"/>
    </row>
    <row r="155" spans="1:27">
      <c r="A155" s="7"/>
      <c r="B155" s="7"/>
      <c r="C155" s="7"/>
      <c r="D155" s="7"/>
      <c r="E155" s="7"/>
      <c r="F155" s="8" t="str">
        <f t="shared" si="3"/>
        <v xml:space="preserve"> </v>
      </c>
      <c r="G155" s="12" t="str">
        <f t="array" ref="G155">IF(ISBLANK(K155)," ",_xlfn.XLOOKUP(#REF!,#REF!,#REF!))</f>
        <v xml:space="preserve"> </v>
      </c>
      <c r="H155" s="13">
        <f t="shared" si="2"/>
        <v>0</v>
      </c>
      <c r="I155" s="8" t="str">
        <f t="array" ref="I155">IF(ISBLANK(K155)," ",_xlfn.XLOOKUP(#REF!,#REF!,#REF!))</f>
        <v xml:space="preserve"> </v>
      </c>
      <c r="J155" s="8" t="str">
        <f t="array" ref="J155">IF(ISBLANK(K155)," ",_xlfn.XLOOKUP(F155,Edades!$A$2:$A$101,IF(I155="F",Edades!$B$2:$B$101,Edades!$C$2:$C$101)))</f>
        <v xml:space="preserve"> </v>
      </c>
      <c r="K155" s="8"/>
      <c r="L155" s="8"/>
      <c r="M155" s="13"/>
      <c r="N155" s="8"/>
      <c r="O155" s="8"/>
      <c r="P155" s="8"/>
      <c r="Q155" s="8"/>
      <c r="R155" s="8"/>
      <c r="S155" s="8"/>
      <c r="T155" s="7"/>
      <c r="U155" s="7"/>
      <c r="V155" s="7"/>
      <c r="W155" s="7"/>
      <c r="X155" s="7"/>
      <c r="Y155" s="7"/>
      <c r="Z155" s="7"/>
      <c r="AA155" s="7"/>
    </row>
    <row r="156" spans="1:27">
      <c r="A156" s="7"/>
      <c r="B156" s="7"/>
      <c r="C156" s="7"/>
      <c r="D156" s="7"/>
      <c r="E156" s="7"/>
      <c r="F156" s="8" t="str">
        <f t="shared" si="3"/>
        <v xml:space="preserve"> </v>
      </c>
      <c r="G156" s="12" t="str">
        <f t="array" ref="G156">IF(ISBLANK(K156)," ",_xlfn.XLOOKUP(#REF!,#REF!,#REF!))</f>
        <v xml:space="preserve"> </v>
      </c>
      <c r="H156" s="13">
        <f t="shared" si="2"/>
        <v>0</v>
      </c>
      <c r="I156" s="8" t="str">
        <f t="array" ref="I156">IF(ISBLANK(K156)," ",_xlfn.XLOOKUP(#REF!,#REF!,#REF!))</f>
        <v xml:space="preserve"> </v>
      </c>
      <c r="J156" s="8" t="str">
        <f t="array" ref="J156">IF(ISBLANK(K156)," ",_xlfn.XLOOKUP(F156,Edades!$A$2:$A$101,IF(I156="F",Edades!$B$2:$B$101,Edades!$C$2:$C$101)))</f>
        <v xml:space="preserve"> </v>
      </c>
      <c r="K156" s="8"/>
      <c r="L156" s="8"/>
      <c r="M156" s="13"/>
      <c r="N156" s="8"/>
      <c r="O156" s="8"/>
      <c r="P156" s="8"/>
      <c r="Q156" s="8"/>
      <c r="R156" s="8"/>
      <c r="S156" s="8"/>
      <c r="T156" s="7"/>
      <c r="U156" s="7"/>
      <c r="V156" s="7"/>
      <c r="W156" s="7"/>
      <c r="X156" s="7"/>
      <c r="Y156" s="7"/>
      <c r="Z156" s="7"/>
      <c r="AA156" s="7"/>
    </row>
    <row r="157" spans="1:27">
      <c r="A157" s="7"/>
      <c r="B157" s="7"/>
      <c r="C157" s="7"/>
      <c r="D157" s="7"/>
      <c r="E157" s="7"/>
      <c r="F157" s="8" t="str">
        <f t="shared" si="3"/>
        <v xml:space="preserve"> </v>
      </c>
      <c r="G157" s="12" t="str">
        <f t="array" ref="G157">IF(ISBLANK(K157)," ",_xlfn.XLOOKUP(#REF!,#REF!,#REF!))</f>
        <v xml:space="preserve"> </v>
      </c>
      <c r="H157" s="13">
        <f t="shared" si="2"/>
        <v>0</v>
      </c>
      <c r="I157" s="8" t="str">
        <f t="array" ref="I157">IF(ISBLANK(K157)," ",_xlfn.XLOOKUP(#REF!,#REF!,#REF!))</f>
        <v xml:space="preserve"> </v>
      </c>
      <c r="J157" s="8" t="str">
        <f t="array" ref="J157">IF(ISBLANK(K157)," ",_xlfn.XLOOKUP(F157,Edades!$A$2:$A$101,IF(I157="F",Edades!$B$2:$B$101,Edades!$C$2:$C$101)))</f>
        <v xml:space="preserve"> </v>
      </c>
      <c r="K157" s="8"/>
      <c r="L157" s="8"/>
      <c r="M157" s="13"/>
      <c r="N157" s="8"/>
      <c r="O157" s="8"/>
      <c r="P157" s="8"/>
      <c r="Q157" s="8"/>
      <c r="R157" s="8"/>
      <c r="S157" s="8"/>
      <c r="T157" s="7"/>
      <c r="U157" s="7"/>
      <c r="V157" s="7"/>
      <c r="W157" s="7"/>
      <c r="X157" s="7"/>
      <c r="Y157" s="7"/>
      <c r="Z157" s="7"/>
      <c r="AA157" s="7"/>
    </row>
    <row r="158" spans="1:27">
      <c r="A158" s="7"/>
      <c r="B158" s="7"/>
      <c r="C158" s="7"/>
      <c r="D158" s="7"/>
      <c r="E158" s="7"/>
      <c r="F158" s="8" t="str">
        <f t="shared" si="3"/>
        <v xml:space="preserve"> </v>
      </c>
      <c r="G158" s="12" t="str">
        <f t="array" ref="G158">IF(ISBLANK(K158)," ",_xlfn.XLOOKUP(#REF!,#REF!,#REF!))</f>
        <v xml:space="preserve"> </v>
      </c>
      <c r="H158" s="13">
        <f t="shared" si="2"/>
        <v>0</v>
      </c>
      <c r="I158" s="8" t="str">
        <f t="array" ref="I158">IF(ISBLANK(K158)," ",_xlfn.XLOOKUP(#REF!,#REF!,#REF!))</f>
        <v xml:space="preserve"> </v>
      </c>
      <c r="J158" s="8" t="str">
        <f t="array" ref="J158">IF(ISBLANK(K158)," ",_xlfn.XLOOKUP(F158,Edades!$A$2:$A$101,IF(I158="F",Edades!$B$2:$B$101,Edades!$C$2:$C$101)))</f>
        <v xml:space="preserve"> </v>
      </c>
      <c r="K158" s="8"/>
      <c r="L158" s="8"/>
      <c r="M158" s="13"/>
      <c r="N158" s="8"/>
      <c r="O158" s="8"/>
      <c r="P158" s="8"/>
      <c r="Q158" s="8"/>
      <c r="R158" s="8"/>
      <c r="S158" s="8"/>
      <c r="T158" s="7"/>
      <c r="U158" s="7"/>
      <c r="V158" s="7"/>
      <c r="W158" s="7"/>
      <c r="X158" s="7"/>
      <c r="Y158" s="7"/>
      <c r="Z158" s="7"/>
      <c r="AA158" s="7"/>
    </row>
    <row r="159" spans="1:27">
      <c r="A159" s="7"/>
      <c r="B159" s="7"/>
      <c r="C159" s="7"/>
      <c r="D159" s="7"/>
      <c r="E159" s="7"/>
      <c r="F159" s="8" t="str">
        <f t="shared" si="3"/>
        <v xml:space="preserve"> </v>
      </c>
      <c r="G159" s="12" t="str">
        <f t="array" ref="G159">IF(ISBLANK(K159)," ",_xlfn.XLOOKUP(#REF!,#REF!,#REF!))</f>
        <v xml:space="preserve"> </v>
      </c>
      <c r="H159" s="13">
        <f t="shared" si="2"/>
        <v>0</v>
      </c>
      <c r="I159" s="8" t="str">
        <f t="array" ref="I159">IF(ISBLANK(K159)," ",_xlfn.XLOOKUP(#REF!,#REF!,#REF!))</f>
        <v xml:space="preserve"> </v>
      </c>
      <c r="J159" s="8" t="str">
        <f t="array" ref="J159">IF(ISBLANK(K159)," ",_xlfn.XLOOKUP(F159,Edades!$A$2:$A$101,IF(I159="F",Edades!$B$2:$B$101,Edades!$C$2:$C$101)))</f>
        <v xml:space="preserve"> </v>
      </c>
      <c r="K159" s="8"/>
      <c r="L159" s="8"/>
      <c r="M159" s="13"/>
      <c r="N159" s="8"/>
      <c r="O159" s="8"/>
      <c r="P159" s="8"/>
      <c r="Q159" s="8"/>
      <c r="R159" s="8"/>
      <c r="S159" s="8"/>
      <c r="T159" s="7"/>
      <c r="U159" s="7"/>
      <c r="V159" s="7"/>
      <c r="W159" s="7"/>
      <c r="X159" s="7"/>
      <c r="Y159" s="7"/>
      <c r="Z159" s="7"/>
      <c r="AA159" s="7"/>
    </row>
    <row r="160" spans="1:27">
      <c r="A160" s="7"/>
      <c r="B160" s="7"/>
      <c r="C160" s="7"/>
      <c r="D160" s="7"/>
      <c r="E160" s="7"/>
      <c r="F160" s="8" t="str">
        <f t="shared" si="3"/>
        <v xml:space="preserve"> </v>
      </c>
      <c r="G160" s="12" t="str">
        <f t="array" ref="G160">IF(ISBLANK(K160)," ",_xlfn.XLOOKUP(#REF!,#REF!,#REF!))</f>
        <v xml:space="preserve"> </v>
      </c>
      <c r="H160" s="13">
        <f t="shared" si="2"/>
        <v>0</v>
      </c>
      <c r="I160" s="8" t="str">
        <f t="array" ref="I160">IF(ISBLANK(K160)," ",_xlfn.XLOOKUP(#REF!,#REF!,#REF!))</f>
        <v xml:space="preserve"> </v>
      </c>
      <c r="J160" s="8" t="str">
        <f t="array" ref="J160">IF(ISBLANK(K160)," ",_xlfn.XLOOKUP(F160,Edades!$A$2:$A$101,IF(I160="F",Edades!$B$2:$B$101,Edades!$C$2:$C$101)))</f>
        <v xml:space="preserve"> </v>
      </c>
      <c r="K160" s="8"/>
      <c r="L160" s="8"/>
      <c r="M160" s="13"/>
      <c r="N160" s="8"/>
      <c r="O160" s="8"/>
      <c r="P160" s="8"/>
      <c r="Q160" s="8"/>
      <c r="R160" s="8"/>
      <c r="S160" s="8"/>
      <c r="T160" s="7"/>
      <c r="U160" s="7"/>
      <c r="V160" s="7"/>
      <c r="W160" s="7"/>
      <c r="X160" s="7"/>
      <c r="Y160" s="7"/>
      <c r="Z160" s="7"/>
      <c r="AA160" s="7"/>
    </row>
    <row r="161" spans="1:27">
      <c r="A161" s="7"/>
      <c r="B161" s="7"/>
      <c r="C161" s="7"/>
      <c r="D161" s="7"/>
      <c r="E161" s="7"/>
      <c r="F161" s="8" t="str">
        <f t="shared" si="3"/>
        <v xml:space="preserve"> </v>
      </c>
      <c r="G161" s="12" t="str">
        <f t="array" ref="G161">IF(ISBLANK(K161)," ",_xlfn.XLOOKUP(#REF!,#REF!,#REF!))</f>
        <v xml:space="preserve"> </v>
      </c>
      <c r="H161" s="13">
        <f t="shared" si="2"/>
        <v>0</v>
      </c>
      <c r="I161" s="8" t="str">
        <f t="array" ref="I161">IF(ISBLANK(K161)," ",_xlfn.XLOOKUP(#REF!,#REF!,#REF!))</f>
        <v xml:space="preserve"> </v>
      </c>
      <c r="J161" s="8" t="str">
        <f t="array" ref="J161">IF(ISBLANK(K161)," ",_xlfn.XLOOKUP(F161,Edades!$A$2:$A$101,IF(I161="F",Edades!$B$2:$B$101,Edades!$C$2:$C$101)))</f>
        <v xml:space="preserve"> </v>
      </c>
      <c r="K161" s="8"/>
      <c r="L161" s="8"/>
      <c r="M161" s="13"/>
      <c r="N161" s="8"/>
      <c r="O161" s="8"/>
      <c r="P161" s="8"/>
      <c r="Q161" s="8"/>
      <c r="R161" s="8"/>
      <c r="S161" s="8"/>
      <c r="T161" s="7"/>
      <c r="U161" s="7"/>
      <c r="V161" s="7"/>
      <c r="W161" s="7"/>
      <c r="X161" s="7"/>
      <c r="Y161" s="7"/>
      <c r="Z161" s="7"/>
      <c r="AA161" s="7"/>
    </row>
    <row r="162" spans="1:27">
      <c r="A162" s="7"/>
      <c r="B162" s="7"/>
      <c r="C162" s="7"/>
      <c r="D162" s="7"/>
      <c r="E162" s="7"/>
      <c r="F162" s="8" t="str">
        <f t="shared" si="3"/>
        <v xml:space="preserve"> </v>
      </c>
      <c r="G162" s="12" t="str">
        <f t="array" ref="G162">IF(ISBLANK(K162)," ",_xlfn.XLOOKUP(#REF!,#REF!,#REF!))</f>
        <v xml:space="preserve"> </v>
      </c>
      <c r="H162" s="13">
        <f t="shared" si="2"/>
        <v>0</v>
      </c>
      <c r="I162" s="8" t="str">
        <f t="array" ref="I162">IF(ISBLANK(K162)," ",_xlfn.XLOOKUP(#REF!,#REF!,#REF!))</f>
        <v xml:space="preserve"> </v>
      </c>
      <c r="J162" s="8" t="str">
        <f t="array" ref="J162">IF(ISBLANK(K162)," ",_xlfn.XLOOKUP(F162,Edades!$A$2:$A$101,IF(I162="F",Edades!$B$2:$B$101,Edades!$C$2:$C$101)))</f>
        <v xml:space="preserve"> </v>
      </c>
      <c r="K162" s="8"/>
      <c r="L162" s="8"/>
      <c r="M162" s="13"/>
      <c r="N162" s="8"/>
      <c r="O162" s="8"/>
      <c r="P162" s="8"/>
      <c r="Q162" s="8"/>
      <c r="R162" s="8"/>
      <c r="S162" s="8"/>
      <c r="T162" s="7"/>
      <c r="U162" s="7"/>
      <c r="V162" s="7"/>
      <c r="W162" s="7"/>
      <c r="X162" s="7"/>
      <c r="Y162" s="7"/>
      <c r="Z162" s="7"/>
      <c r="AA162" s="7"/>
    </row>
    <row r="163" spans="1:27">
      <c r="A163" s="7"/>
      <c r="B163" s="7"/>
      <c r="C163" s="7"/>
      <c r="D163" s="7"/>
      <c r="E163" s="7"/>
      <c r="F163" s="8" t="str">
        <f t="shared" si="3"/>
        <v xml:space="preserve"> </v>
      </c>
      <c r="G163" s="12" t="str">
        <f t="array" ref="G163">IF(ISBLANK(K163)," ",_xlfn.XLOOKUP(#REF!,#REF!,#REF!))</f>
        <v xml:space="preserve"> </v>
      </c>
      <c r="H163" s="13">
        <f t="shared" si="2"/>
        <v>0</v>
      </c>
      <c r="I163" s="8" t="str">
        <f t="array" ref="I163">IF(ISBLANK(K163)," ",_xlfn.XLOOKUP(#REF!,#REF!,#REF!))</f>
        <v xml:space="preserve"> </v>
      </c>
      <c r="J163" s="8" t="str">
        <f t="array" ref="J163">IF(ISBLANK(K163)," ",_xlfn.XLOOKUP(F163,Edades!$A$2:$A$101,IF(I163="F",Edades!$B$2:$B$101,Edades!$C$2:$C$101)))</f>
        <v xml:space="preserve"> </v>
      </c>
      <c r="K163" s="8"/>
      <c r="L163" s="8"/>
      <c r="M163" s="13"/>
      <c r="N163" s="8"/>
      <c r="O163" s="8"/>
      <c r="P163" s="8"/>
      <c r="Q163" s="8"/>
      <c r="R163" s="8"/>
      <c r="S163" s="8"/>
      <c r="T163" s="7"/>
      <c r="U163" s="7"/>
      <c r="V163" s="7"/>
      <c r="W163" s="7"/>
      <c r="X163" s="7"/>
      <c r="Y163" s="7"/>
      <c r="Z163" s="7"/>
      <c r="AA163" s="7"/>
    </row>
    <row r="164" spans="1:27">
      <c r="A164" s="7"/>
      <c r="B164" s="7"/>
      <c r="C164" s="7"/>
      <c r="D164" s="7"/>
      <c r="E164" s="7"/>
      <c r="F164" s="8" t="str">
        <f t="shared" si="3"/>
        <v xml:space="preserve"> </v>
      </c>
      <c r="G164" s="12" t="str">
        <f t="array" ref="G164">IF(ISBLANK(K164)," ",_xlfn.XLOOKUP(#REF!,#REF!,#REF!))</f>
        <v xml:space="preserve"> </v>
      </c>
      <c r="H164" s="13">
        <f t="shared" si="2"/>
        <v>0</v>
      </c>
      <c r="I164" s="8" t="str">
        <f t="array" ref="I164">IF(ISBLANK(K164)," ",_xlfn.XLOOKUP(#REF!,#REF!,#REF!))</f>
        <v xml:space="preserve"> </v>
      </c>
      <c r="J164" s="8" t="str">
        <f t="array" ref="J164">IF(ISBLANK(K164)," ",_xlfn.XLOOKUP(F164,Edades!$A$2:$A$101,IF(I164="F",Edades!$B$2:$B$101,Edades!$C$2:$C$101)))</f>
        <v xml:space="preserve"> </v>
      </c>
      <c r="K164" s="8"/>
      <c r="L164" s="8"/>
      <c r="M164" s="13"/>
      <c r="N164" s="8"/>
      <c r="O164" s="8"/>
      <c r="P164" s="8"/>
      <c r="Q164" s="8"/>
      <c r="R164" s="8"/>
      <c r="S164" s="8"/>
      <c r="T164" s="7"/>
      <c r="U164" s="7"/>
      <c r="V164" s="7"/>
      <c r="W164" s="7"/>
      <c r="X164" s="7"/>
      <c r="Y164" s="7"/>
      <c r="Z164" s="7"/>
      <c r="AA164" s="7"/>
    </row>
    <row r="165" spans="1:27">
      <c r="A165" s="7"/>
      <c r="B165" s="7"/>
      <c r="C165" s="7"/>
      <c r="D165" s="7"/>
      <c r="E165" s="7"/>
      <c r="F165" s="8" t="str">
        <f t="shared" si="3"/>
        <v xml:space="preserve"> </v>
      </c>
      <c r="G165" s="12" t="str">
        <f t="array" ref="G165">IF(ISBLANK(K165)," ",_xlfn.XLOOKUP(#REF!,#REF!,#REF!))</f>
        <v xml:space="preserve"> </v>
      </c>
      <c r="H165" s="13">
        <f t="shared" si="2"/>
        <v>0</v>
      </c>
      <c r="I165" s="8" t="str">
        <f t="array" ref="I165">IF(ISBLANK(K165)," ",_xlfn.XLOOKUP(#REF!,#REF!,#REF!))</f>
        <v xml:space="preserve"> </v>
      </c>
      <c r="J165" s="8" t="str">
        <f t="array" ref="J165">IF(ISBLANK(K165)," ",_xlfn.XLOOKUP(F165,Edades!$A$2:$A$101,IF(I165="F",Edades!$B$2:$B$101,Edades!$C$2:$C$101)))</f>
        <v xml:space="preserve"> </v>
      </c>
      <c r="K165" s="8"/>
      <c r="L165" s="8"/>
      <c r="M165" s="13"/>
      <c r="N165" s="8"/>
      <c r="O165" s="8"/>
      <c r="P165" s="8"/>
      <c r="Q165" s="8"/>
      <c r="R165" s="8"/>
      <c r="S165" s="8"/>
      <c r="T165" s="7"/>
      <c r="U165" s="7"/>
      <c r="V165" s="7"/>
      <c r="W165" s="7"/>
      <c r="X165" s="7"/>
      <c r="Y165" s="7"/>
      <c r="Z165" s="7"/>
      <c r="AA165" s="7"/>
    </row>
    <row r="166" spans="1:27">
      <c r="A166" s="7"/>
      <c r="B166" s="7"/>
      <c r="C166" s="7"/>
      <c r="D166" s="7"/>
      <c r="E166" s="7"/>
      <c r="F166" s="8" t="str">
        <f t="shared" si="3"/>
        <v xml:space="preserve"> </v>
      </c>
      <c r="G166" s="12" t="str">
        <f t="array" ref="G166">IF(ISBLANK(K166)," ",_xlfn.XLOOKUP(#REF!,#REF!,#REF!))</f>
        <v xml:space="preserve"> </v>
      </c>
      <c r="H166" s="13">
        <f t="shared" si="2"/>
        <v>0</v>
      </c>
      <c r="I166" s="8" t="str">
        <f t="array" ref="I166">IF(ISBLANK(K166)," ",_xlfn.XLOOKUP(#REF!,#REF!,#REF!))</f>
        <v xml:space="preserve"> </v>
      </c>
      <c r="J166" s="8" t="str">
        <f t="array" ref="J166">IF(ISBLANK(K166)," ",_xlfn.XLOOKUP(F166,Edades!$A$2:$A$101,IF(I166="F",Edades!$B$2:$B$101,Edades!$C$2:$C$101)))</f>
        <v xml:space="preserve"> </v>
      </c>
      <c r="K166" s="8"/>
      <c r="L166" s="8"/>
      <c r="M166" s="13"/>
      <c r="N166" s="8"/>
      <c r="O166" s="8"/>
      <c r="P166" s="8"/>
      <c r="Q166" s="8"/>
      <c r="R166" s="8"/>
      <c r="S166" s="8"/>
      <c r="T166" s="7"/>
      <c r="U166" s="7"/>
      <c r="V166" s="7"/>
      <c r="W166" s="7"/>
      <c r="X166" s="7"/>
      <c r="Y166" s="7"/>
      <c r="Z166" s="7"/>
      <c r="AA166" s="7"/>
    </row>
    <row r="167" spans="1:27">
      <c r="A167" s="7"/>
      <c r="B167" s="7"/>
      <c r="C167" s="7"/>
      <c r="D167" s="7"/>
      <c r="E167" s="7"/>
      <c r="F167" s="8" t="str">
        <f t="shared" si="3"/>
        <v xml:space="preserve"> </v>
      </c>
      <c r="G167" s="12" t="str">
        <f t="array" ref="G167">IF(ISBLANK(K167)," ",_xlfn.XLOOKUP(#REF!,#REF!,#REF!))</f>
        <v xml:space="preserve"> </v>
      </c>
      <c r="H167" s="13">
        <f t="shared" si="2"/>
        <v>0</v>
      </c>
      <c r="I167" s="8" t="str">
        <f t="array" ref="I167">IF(ISBLANK(K167)," ",_xlfn.XLOOKUP(#REF!,#REF!,#REF!))</f>
        <v xml:space="preserve"> </v>
      </c>
      <c r="J167" s="8" t="str">
        <f t="array" ref="J167">IF(ISBLANK(K167)," ",_xlfn.XLOOKUP(F167,Edades!$A$2:$A$101,IF(I167="F",Edades!$B$2:$B$101,Edades!$C$2:$C$101)))</f>
        <v xml:space="preserve"> </v>
      </c>
      <c r="K167" s="8"/>
      <c r="L167" s="8"/>
      <c r="M167" s="13"/>
      <c r="N167" s="8"/>
      <c r="O167" s="8"/>
      <c r="P167" s="8"/>
      <c r="Q167" s="8"/>
      <c r="R167" s="8"/>
      <c r="S167" s="8"/>
      <c r="T167" s="7"/>
      <c r="U167" s="7"/>
      <c r="V167" s="7"/>
      <c r="W167" s="7"/>
      <c r="X167" s="7"/>
      <c r="Y167" s="7"/>
      <c r="Z167" s="7"/>
      <c r="AA167" s="7"/>
    </row>
    <row r="168" spans="1:27">
      <c r="A168" s="7"/>
      <c r="B168" s="7"/>
      <c r="C168" s="7"/>
      <c r="D168" s="7"/>
      <c r="E168" s="7"/>
      <c r="F168" s="8" t="str">
        <f t="shared" si="3"/>
        <v xml:space="preserve"> </v>
      </c>
      <c r="G168" s="12" t="str">
        <f t="array" ref="G168">IF(ISBLANK(K168)," ",_xlfn.XLOOKUP(#REF!,#REF!,#REF!))</f>
        <v xml:space="preserve"> </v>
      </c>
      <c r="H168" s="13">
        <f t="shared" si="2"/>
        <v>0</v>
      </c>
      <c r="I168" s="8" t="str">
        <f t="array" ref="I168">IF(ISBLANK(K168)," ",_xlfn.XLOOKUP(#REF!,#REF!,#REF!))</f>
        <v xml:space="preserve"> </v>
      </c>
      <c r="J168" s="8" t="str">
        <f t="array" ref="J168">IF(ISBLANK(K168)," ",_xlfn.XLOOKUP(F168,Edades!$A$2:$A$101,IF(I168="F",Edades!$B$2:$B$101,Edades!$C$2:$C$101)))</f>
        <v xml:space="preserve"> </v>
      </c>
      <c r="K168" s="8"/>
      <c r="L168" s="8"/>
      <c r="M168" s="13"/>
      <c r="N168" s="8"/>
      <c r="O168" s="8"/>
      <c r="P168" s="8"/>
      <c r="Q168" s="8"/>
      <c r="R168" s="8"/>
      <c r="S168" s="8"/>
      <c r="T168" s="7"/>
      <c r="U168" s="7"/>
      <c r="V168" s="7"/>
      <c r="W168" s="7"/>
      <c r="X168" s="7"/>
      <c r="Y168" s="7"/>
      <c r="Z168" s="7"/>
      <c r="AA168" s="7"/>
    </row>
    <row r="169" spans="1:27">
      <c r="A169" s="7"/>
      <c r="B169" s="7"/>
      <c r="C169" s="7"/>
      <c r="D169" s="7"/>
      <c r="E169" s="7"/>
      <c r="F169" s="8" t="str">
        <f t="shared" si="3"/>
        <v xml:space="preserve"> </v>
      </c>
      <c r="G169" s="12" t="str">
        <f t="array" ref="G169">IF(ISBLANK(K169)," ",_xlfn.XLOOKUP(#REF!,#REF!,#REF!))</f>
        <v xml:space="preserve"> </v>
      </c>
      <c r="H169" s="13">
        <f t="shared" si="2"/>
        <v>0</v>
      </c>
      <c r="I169" s="8" t="str">
        <f t="array" ref="I169">IF(ISBLANK(K169)," ",_xlfn.XLOOKUP(#REF!,#REF!,#REF!))</f>
        <v xml:space="preserve"> </v>
      </c>
      <c r="J169" s="8" t="str">
        <f t="array" ref="J169">IF(ISBLANK(K169)," ",_xlfn.XLOOKUP(F169,Edades!$A$2:$A$101,IF(I169="F",Edades!$B$2:$B$101,Edades!$C$2:$C$101)))</f>
        <v xml:space="preserve"> </v>
      </c>
      <c r="K169" s="8"/>
      <c r="L169" s="8"/>
      <c r="M169" s="13"/>
      <c r="N169" s="8"/>
      <c r="O169" s="8"/>
      <c r="P169" s="8"/>
      <c r="Q169" s="8"/>
      <c r="R169" s="8"/>
      <c r="S169" s="8"/>
      <c r="T169" s="7"/>
      <c r="U169" s="7"/>
      <c r="V169" s="7"/>
      <c r="W169" s="7"/>
      <c r="X169" s="7"/>
      <c r="Y169" s="7"/>
      <c r="Z169" s="7"/>
      <c r="AA169" s="7"/>
    </row>
    <row r="170" spans="1:27">
      <c r="A170" s="7"/>
      <c r="B170" s="7"/>
      <c r="C170" s="7"/>
      <c r="D170" s="7"/>
      <c r="E170" s="7"/>
      <c r="F170" s="8" t="str">
        <f t="shared" si="3"/>
        <v xml:space="preserve"> </v>
      </c>
      <c r="G170" s="12" t="str">
        <f t="array" ref="G170">IF(ISBLANK(K170)," ",_xlfn.XLOOKUP(#REF!,#REF!,#REF!))</f>
        <v xml:space="preserve"> </v>
      </c>
      <c r="H170" s="13">
        <f t="shared" si="2"/>
        <v>0</v>
      </c>
      <c r="I170" s="8" t="str">
        <f t="array" ref="I170">IF(ISBLANK(K170)," ",_xlfn.XLOOKUP(#REF!,#REF!,#REF!))</f>
        <v xml:space="preserve"> </v>
      </c>
      <c r="J170" s="8" t="str">
        <f t="array" ref="J170">IF(ISBLANK(K170)," ",_xlfn.XLOOKUP(F170,Edades!$A$2:$A$101,IF(I170="F",Edades!$B$2:$B$101,Edades!$C$2:$C$101)))</f>
        <v xml:space="preserve"> </v>
      </c>
      <c r="K170" s="8"/>
      <c r="L170" s="8"/>
      <c r="M170" s="13"/>
      <c r="N170" s="8"/>
      <c r="O170" s="8"/>
      <c r="P170" s="8"/>
      <c r="Q170" s="8"/>
      <c r="R170" s="8"/>
      <c r="S170" s="8"/>
      <c r="T170" s="7"/>
      <c r="U170" s="7"/>
      <c r="V170" s="7"/>
      <c r="W170" s="7"/>
      <c r="X170" s="7"/>
      <c r="Y170" s="7"/>
      <c r="Z170" s="7"/>
      <c r="AA170" s="7"/>
    </row>
    <row r="171" spans="1:27">
      <c r="A171" s="7"/>
      <c r="B171" s="7"/>
      <c r="C171" s="7"/>
      <c r="D171" s="7"/>
      <c r="E171" s="7"/>
      <c r="F171" s="8" t="str">
        <f t="shared" si="3"/>
        <v xml:space="preserve"> </v>
      </c>
      <c r="G171" s="12" t="str">
        <f t="array" ref="G171">IF(ISBLANK(K171)," ",_xlfn.XLOOKUP(#REF!,#REF!,#REF!))</f>
        <v xml:space="preserve"> </v>
      </c>
      <c r="H171" s="13">
        <f t="shared" si="2"/>
        <v>0</v>
      </c>
      <c r="I171" s="8" t="str">
        <f t="array" ref="I171">IF(ISBLANK(K171)," ",_xlfn.XLOOKUP(#REF!,#REF!,#REF!))</f>
        <v xml:space="preserve"> </v>
      </c>
      <c r="J171" s="8" t="str">
        <f t="array" ref="J171">IF(ISBLANK(K171)," ",_xlfn.XLOOKUP(F171,Edades!$A$2:$A$101,IF(I171="F",Edades!$B$2:$B$101,Edades!$C$2:$C$101)))</f>
        <v xml:space="preserve"> </v>
      </c>
      <c r="K171" s="8"/>
      <c r="L171" s="8"/>
      <c r="M171" s="13"/>
      <c r="N171" s="8"/>
      <c r="O171" s="8"/>
      <c r="P171" s="8"/>
      <c r="Q171" s="8"/>
      <c r="R171" s="8"/>
      <c r="S171" s="8"/>
      <c r="T171" s="7"/>
      <c r="U171" s="7"/>
      <c r="V171" s="7"/>
      <c r="W171" s="7"/>
      <c r="X171" s="7"/>
      <c r="Y171" s="7"/>
      <c r="Z171" s="7"/>
      <c r="AA171" s="7"/>
    </row>
    <row r="172" spans="1:27">
      <c r="A172" s="7"/>
      <c r="B172" s="7"/>
      <c r="C172" s="7"/>
      <c r="D172" s="7"/>
      <c r="E172" s="7"/>
      <c r="F172" s="8" t="str">
        <f t="shared" si="3"/>
        <v xml:space="preserve"> </v>
      </c>
      <c r="G172" s="12" t="str">
        <f t="array" ref="G172">IF(ISBLANK(K172)," ",_xlfn.XLOOKUP(#REF!,#REF!,#REF!))</f>
        <v xml:space="preserve"> </v>
      </c>
      <c r="H172" s="13">
        <f t="shared" si="2"/>
        <v>0</v>
      </c>
      <c r="I172" s="8" t="str">
        <f t="array" ref="I172">IF(ISBLANK(K172)," ",_xlfn.XLOOKUP(#REF!,#REF!,#REF!))</f>
        <v xml:space="preserve"> </v>
      </c>
      <c r="J172" s="8" t="str">
        <f t="array" ref="J172">IF(ISBLANK(K172)," ",_xlfn.XLOOKUP(F172,Edades!$A$2:$A$101,IF(I172="F",Edades!$B$2:$B$101,Edades!$C$2:$C$101)))</f>
        <v xml:space="preserve"> </v>
      </c>
      <c r="K172" s="8"/>
      <c r="L172" s="8"/>
      <c r="M172" s="13"/>
      <c r="N172" s="8"/>
      <c r="O172" s="8"/>
      <c r="P172" s="8"/>
      <c r="Q172" s="8"/>
      <c r="R172" s="8"/>
      <c r="S172" s="8"/>
      <c r="T172" s="7"/>
      <c r="U172" s="7"/>
      <c r="V172" s="7"/>
      <c r="W172" s="7"/>
      <c r="X172" s="7"/>
      <c r="Y172" s="7"/>
      <c r="Z172" s="7"/>
      <c r="AA172" s="7"/>
    </row>
    <row r="173" spans="1:27">
      <c r="A173" s="7"/>
      <c r="B173" s="7"/>
      <c r="C173" s="7"/>
      <c r="D173" s="7"/>
      <c r="E173" s="7"/>
      <c r="F173" s="8" t="str">
        <f t="shared" si="3"/>
        <v xml:space="preserve"> </v>
      </c>
      <c r="G173" s="12" t="str">
        <f t="array" ref="G173">IF(ISBLANK(K173)," ",_xlfn.XLOOKUP(#REF!,#REF!,#REF!))</f>
        <v xml:space="preserve"> </v>
      </c>
      <c r="H173" s="13">
        <f t="shared" si="2"/>
        <v>0</v>
      </c>
      <c r="I173" s="8" t="str">
        <f t="array" ref="I173">IF(ISBLANK(K173)," ",_xlfn.XLOOKUP(#REF!,#REF!,#REF!))</f>
        <v xml:space="preserve"> </v>
      </c>
      <c r="J173" s="8" t="str">
        <f t="array" ref="J173">IF(ISBLANK(K173)," ",_xlfn.XLOOKUP(F173,Edades!$A$2:$A$101,IF(I173="F",Edades!$B$2:$B$101,Edades!$C$2:$C$101)))</f>
        <v xml:space="preserve"> </v>
      </c>
      <c r="K173" s="8"/>
      <c r="L173" s="8"/>
      <c r="M173" s="13"/>
      <c r="N173" s="8"/>
      <c r="O173" s="8"/>
      <c r="P173" s="8"/>
      <c r="Q173" s="8"/>
      <c r="R173" s="8"/>
      <c r="S173" s="8"/>
      <c r="T173" s="7"/>
      <c r="U173" s="7"/>
      <c r="V173" s="7"/>
      <c r="W173" s="7"/>
      <c r="X173" s="7"/>
      <c r="Y173" s="7"/>
      <c r="Z173" s="7"/>
      <c r="AA173" s="7"/>
    </row>
    <row r="174" spans="1:27">
      <c r="A174" s="7"/>
      <c r="B174" s="7"/>
      <c r="C174" s="7"/>
      <c r="D174" s="7"/>
      <c r="E174" s="7"/>
      <c r="F174" s="8" t="str">
        <f t="shared" si="3"/>
        <v xml:space="preserve"> </v>
      </c>
      <c r="G174" s="12" t="str">
        <f t="array" ref="G174">IF(ISBLANK(K174)," ",_xlfn.XLOOKUP(#REF!,#REF!,#REF!))</f>
        <v xml:space="preserve"> </v>
      </c>
      <c r="H174" s="13">
        <f t="shared" si="2"/>
        <v>0</v>
      </c>
      <c r="I174" s="8" t="str">
        <f t="array" ref="I174">IF(ISBLANK(K174)," ",_xlfn.XLOOKUP(#REF!,#REF!,#REF!))</f>
        <v xml:space="preserve"> </v>
      </c>
      <c r="J174" s="8" t="str">
        <f t="array" ref="J174">IF(ISBLANK(K174)," ",_xlfn.XLOOKUP(F174,Edades!$A$2:$A$101,IF(I174="F",Edades!$B$2:$B$101,Edades!$C$2:$C$101)))</f>
        <v xml:space="preserve"> </v>
      </c>
      <c r="K174" s="8"/>
      <c r="L174" s="8"/>
      <c r="M174" s="13"/>
      <c r="N174" s="8"/>
      <c r="O174" s="8"/>
      <c r="P174" s="8"/>
      <c r="Q174" s="8"/>
      <c r="R174" s="8"/>
      <c r="S174" s="8"/>
      <c r="T174" s="7"/>
      <c r="U174" s="7"/>
      <c r="V174" s="7"/>
      <c r="W174" s="7"/>
      <c r="X174" s="7"/>
      <c r="Y174" s="7"/>
      <c r="Z174" s="7"/>
      <c r="AA174" s="7"/>
    </row>
    <row r="175" spans="1:27">
      <c r="A175" s="7"/>
      <c r="B175" s="7"/>
      <c r="C175" s="7"/>
      <c r="D175" s="7"/>
      <c r="E175" s="7"/>
      <c r="F175" s="8" t="str">
        <f t="shared" si="3"/>
        <v xml:space="preserve"> </v>
      </c>
      <c r="G175" s="12" t="str">
        <f t="array" ref="G175">IF(ISBLANK(K175)," ",_xlfn.XLOOKUP(#REF!,#REF!,#REF!))</f>
        <v xml:space="preserve"> </v>
      </c>
      <c r="H175" s="13">
        <f t="shared" si="2"/>
        <v>0</v>
      </c>
      <c r="I175" s="8" t="str">
        <f t="array" ref="I175">IF(ISBLANK(K175)," ",_xlfn.XLOOKUP(#REF!,#REF!,#REF!))</f>
        <v xml:space="preserve"> </v>
      </c>
      <c r="J175" s="8" t="str">
        <f t="array" ref="J175">IF(ISBLANK(K175)," ",_xlfn.XLOOKUP(F175,Edades!$A$2:$A$101,IF(I175="F",Edades!$B$2:$B$101,Edades!$C$2:$C$101)))</f>
        <v xml:space="preserve"> </v>
      </c>
      <c r="K175" s="8"/>
      <c r="L175" s="8"/>
      <c r="M175" s="13"/>
      <c r="N175" s="8"/>
      <c r="O175" s="8"/>
      <c r="P175" s="8"/>
      <c r="Q175" s="8"/>
      <c r="R175" s="8"/>
      <c r="S175" s="8"/>
      <c r="T175" s="7"/>
      <c r="U175" s="7"/>
      <c r="V175" s="7"/>
      <c r="W175" s="7"/>
      <c r="X175" s="7"/>
      <c r="Y175" s="7"/>
      <c r="Z175" s="7"/>
      <c r="AA175" s="7"/>
    </row>
    <row r="176" spans="1:27">
      <c r="A176" s="7"/>
      <c r="B176" s="7"/>
      <c r="C176" s="7"/>
      <c r="D176" s="7"/>
      <c r="E176" s="7"/>
      <c r="F176" s="8" t="str">
        <f t="shared" si="3"/>
        <v xml:space="preserve"> </v>
      </c>
      <c r="G176" s="12" t="str">
        <f t="array" ref="G176">IF(ISBLANK(K176)," ",_xlfn.XLOOKUP(#REF!,#REF!,#REF!))</f>
        <v xml:space="preserve"> </v>
      </c>
      <c r="H176" s="13">
        <f t="shared" si="2"/>
        <v>0</v>
      </c>
      <c r="I176" s="8" t="str">
        <f t="array" ref="I176">IF(ISBLANK(K176)," ",_xlfn.XLOOKUP(#REF!,#REF!,#REF!))</f>
        <v xml:space="preserve"> </v>
      </c>
      <c r="J176" s="8" t="str">
        <f t="array" ref="J176">IF(ISBLANK(K176)," ",_xlfn.XLOOKUP(F176,Edades!$A$2:$A$101,IF(I176="F",Edades!$B$2:$B$101,Edades!$C$2:$C$101)))</f>
        <v xml:space="preserve"> </v>
      </c>
      <c r="K176" s="8"/>
      <c r="L176" s="8"/>
      <c r="M176" s="13"/>
      <c r="N176" s="8"/>
      <c r="O176" s="8"/>
      <c r="P176" s="8"/>
      <c r="Q176" s="8"/>
      <c r="R176" s="8"/>
      <c r="S176" s="8"/>
      <c r="T176" s="7"/>
      <c r="U176" s="7"/>
      <c r="V176" s="7"/>
      <c r="W176" s="7"/>
      <c r="X176" s="7"/>
      <c r="Y176" s="7"/>
      <c r="Z176" s="7"/>
      <c r="AA176" s="7"/>
    </row>
    <row r="177" spans="1:27">
      <c r="A177" s="7"/>
      <c r="B177" s="7"/>
      <c r="C177" s="7"/>
      <c r="D177" s="7"/>
      <c r="E177" s="7"/>
      <c r="F177" s="8" t="str">
        <f t="shared" si="3"/>
        <v xml:space="preserve"> </v>
      </c>
      <c r="G177" s="12" t="str">
        <f t="array" ref="G177">IF(ISBLANK(K177)," ",_xlfn.XLOOKUP(#REF!,#REF!,#REF!))</f>
        <v xml:space="preserve"> </v>
      </c>
      <c r="H177" s="13">
        <f t="shared" si="2"/>
        <v>0</v>
      </c>
      <c r="I177" s="8" t="str">
        <f t="array" ref="I177">IF(ISBLANK(K177)," ",_xlfn.XLOOKUP(#REF!,#REF!,#REF!))</f>
        <v xml:space="preserve"> </v>
      </c>
      <c r="J177" s="8" t="str">
        <f t="array" ref="J177">IF(ISBLANK(K177)," ",_xlfn.XLOOKUP(F177,Edades!$A$2:$A$101,IF(I177="F",Edades!$B$2:$B$101,Edades!$C$2:$C$101)))</f>
        <v xml:space="preserve"> </v>
      </c>
      <c r="K177" s="8"/>
      <c r="L177" s="8"/>
      <c r="M177" s="13"/>
      <c r="N177" s="8"/>
      <c r="O177" s="8"/>
      <c r="P177" s="8"/>
      <c r="Q177" s="8"/>
      <c r="R177" s="8"/>
      <c r="S177" s="8"/>
      <c r="T177" s="7"/>
      <c r="U177" s="7"/>
      <c r="V177" s="7"/>
      <c r="W177" s="7"/>
      <c r="X177" s="7"/>
      <c r="Y177" s="7"/>
      <c r="Z177" s="7"/>
      <c r="AA177" s="7"/>
    </row>
    <row r="178" spans="1:27">
      <c r="A178" s="7"/>
      <c r="B178" s="7"/>
      <c r="C178" s="7"/>
      <c r="D178" s="7"/>
      <c r="E178" s="7"/>
      <c r="F178" s="8" t="str">
        <f t="shared" si="3"/>
        <v xml:space="preserve"> </v>
      </c>
      <c r="G178" s="12" t="str">
        <f t="array" ref="G178">IF(ISBLANK(K178)," ",_xlfn.XLOOKUP(#REF!,#REF!,#REF!))</f>
        <v xml:space="preserve"> </v>
      </c>
      <c r="H178" s="13">
        <f t="shared" si="2"/>
        <v>0</v>
      </c>
      <c r="I178" s="8" t="str">
        <f t="array" ref="I178">IF(ISBLANK(K178)," ",_xlfn.XLOOKUP(#REF!,#REF!,#REF!))</f>
        <v xml:space="preserve"> </v>
      </c>
      <c r="J178" s="8" t="str">
        <f t="array" ref="J178">IF(ISBLANK(K178)," ",_xlfn.XLOOKUP(F178,Edades!$A$2:$A$101,IF(I178="F",Edades!$B$2:$B$101,Edades!$C$2:$C$101)))</f>
        <v xml:space="preserve"> </v>
      </c>
      <c r="K178" s="8"/>
      <c r="L178" s="8"/>
      <c r="M178" s="13"/>
      <c r="N178" s="8"/>
      <c r="O178" s="8"/>
      <c r="P178" s="8"/>
      <c r="Q178" s="8"/>
      <c r="R178" s="8"/>
      <c r="S178" s="8"/>
      <c r="T178" s="7"/>
      <c r="U178" s="7"/>
      <c r="V178" s="7"/>
      <c r="W178" s="7"/>
      <c r="X178" s="7"/>
      <c r="Y178" s="7"/>
      <c r="Z178" s="7"/>
      <c r="AA178" s="7"/>
    </row>
    <row r="179" spans="1:27">
      <c r="A179" s="7"/>
      <c r="B179" s="7"/>
      <c r="C179" s="7"/>
      <c r="D179" s="7"/>
      <c r="E179" s="7"/>
      <c r="F179" s="8" t="str">
        <f t="shared" si="3"/>
        <v xml:space="preserve"> </v>
      </c>
      <c r="G179" s="12" t="str">
        <f t="array" ref="G179">IF(ISBLANK(K179)," ",_xlfn.XLOOKUP(#REF!,#REF!,#REF!))</f>
        <v xml:space="preserve"> </v>
      </c>
      <c r="H179" s="13">
        <f t="shared" si="2"/>
        <v>0</v>
      </c>
      <c r="I179" s="8" t="str">
        <f t="array" ref="I179">IF(ISBLANK(K179)," ",_xlfn.XLOOKUP(#REF!,#REF!,#REF!))</f>
        <v xml:space="preserve"> </v>
      </c>
      <c r="J179" s="8" t="str">
        <f t="array" ref="J179">IF(ISBLANK(K179)," ",_xlfn.XLOOKUP(F179,Edades!$A$2:$A$101,IF(I179="F",Edades!$B$2:$B$101,Edades!$C$2:$C$101)))</f>
        <v xml:space="preserve"> </v>
      </c>
      <c r="K179" s="8"/>
      <c r="L179" s="8"/>
      <c r="M179" s="13"/>
      <c r="N179" s="8"/>
      <c r="O179" s="8"/>
      <c r="P179" s="8"/>
      <c r="Q179" s="8"/>
      <c r="R179" s="8"/>
      <c r="S179" s="8"/>
      <c r="T179" s="7"/>
      <c r="U179" s="7"/>
      <c r="V179" s="7"/>
      <c r="W179" s="7"/>
      <c r="X179" s="7"/>
      <c r="Y179" s="7"/>
      <c r="Z179" s="7"/>
      <c r="AA179" s="7"/>
    </row>
    <row r="180" spans="1:27">
      <c r="A180" s="7"/>
      <c r="B180" s="7"/>
      <c r="C180" s="7"/>
      <c r="D180" s="7"/>
      <c r="E180" s="7"/>
      <c r="F180" s="8" t="str">
        <f t="shared" si="3"/>
        <v xml:space="preserve"> </v>
      </c>
      <c r="G180" s="12" t="str">
        <f t="array" ref="G180">IF(ISBLANK(K180)," ",_xlfn.XLOOKUP(#REF!,#REF!,#REF!))</f>
        <v xml:space="preserve"> </v>
      </c>
      <c r="H180" s="13">
        <f t="shared" si="2"/>
        <v>0</v>
      </c>
      <c r="I180" s="8" t="str">
        <f t="array" ref="I180">IF(ISBLANK(K180)," ",_xlfn.XLOOKUP(#REF!,#REF!,#REF!))</f>
        <v xml:space="preserve"> </v>
      </c>
      <c r="J180" s="8" t="str">
        <f t="array" ref="J180">IF(ISBLANK(K180)," ",_xlfn.XLOOKUP(F180,Edades!$A$2:$A$101,IF(I180="F",Edades!$B$2:$B$101,Edades!$C$2:$C$101)))</f>
        <v xml:space="preserve"> </v>
      </c>
      <c r="K180" s="8"/>
      <c r="L180" s="8"/>
      <c r="M180" s="13"/>
      <c r="N180" s="8"/>
      <c r="O180" s="8"/>
      <c r="P180" s="8"/>
      <c r="Q180" s="8"/>
      <c r="R180" s="8"/>
      <c r="S180" s="8"/>
      <c r="T180" s="7"/>
      <c r="U180" s="7"/>
      <c r="V180" s="7"/>
      <c r="W180" s="7"/>
      <c r="X180" s="7"/>
      <c r="Y180" s="7"/>
      <c r="Z180" s="7"/>
      <c r="AA180" s="7"/>
    </row>
    <row r="181" spans="1:27">
      <c r="A181" s="7"/>
      <c r="B181" s="7"/>
      <c r="C181" s="7"/>
      <c r="D181" s="7"/>
      <c r="E181" s="7"/>
      <c r="F181" s="8" t="str">
        <f t="shared" si="3"/>
        <v xml:space="preserve"> </v>
      </c>
      <c r="G181" s="12" t="str">
        <f t="array" ref="G181">IF(ISBLANK(K181)," ",_xlfn.XLOOKUP(#REF!,#REF!,#REF!))</f>
        <v xml:space="preserve"> </v>
      </c>
      <c r="H181" s="13">
        <f t="shared" si="2"/>
        <v>0</v>
      </c>
      <c r="I181" s="8" t="str">
        <f t="array" ref="I181">IF(ISBLANK(K181)," ",_xlfn.XLOOKUP(#REF!,#REF!,#REF!))</f>
        <v xml:space="preserve"> </v>
      </c>
      <c r="J181" s="8" t="str">
        <f t="array" ref="J181">IF(ISBLANK(K181)," ",_xlfn.XLOOKUP(F181,Edades!$A$2:$A$101,IF(I181="F",Edades!$B$2:$B$101,Edades!$C$2:$C$101)))</f>
        <v xml:space="preserve"> </v>
      </c>
      <c r="K181" s="8"/>
      <c r="L181" s="8"/>
      <c r="M181" s="13"/>
      <c r="N181" s="8"/>
      <c r="O181" s="8"/>
      <c r="P181" s="8"/>
      <c r="Q181" s="8"/>
      <c r="R181" s="8"/>
      <c r="S181" s="8"/>
      <c r="T181" s="7"/>
      <c r="U181" s="7"/>
      <c r="V181" s="7"/>
      <c r="W181" s="7"/>
      <c r="X181" s="7"/>
      <c r="Y181" s="7"/>
      <c r="Z181" s="7"/>
      <c r="AA181" s="7"/>
    </row>
    <row r="182" spans="1:27">
      <c r="A182" s="7"/>
      <c r="B182" s="7"/>
      <c r="C182" s="7"/>
      <c r="D182" s="7"/>
      <c r="E182" s="7"/>
      <c r="F182" s="8" t="str">
        <f t="shared" si="3"/>
        <v xml:space="preserve"> </v>
      </c>
      <c r="G182" s="12" t="str">
        <f t="array" ref="G182">IF(ISBLANK(K182)," ",_xlfn.XLOOKUP(#REF!,#REF!,#REF!))</f>
        <v xml:space="preserve"> </v>
      </c>
      <c r="H182" s="13">
        <f t="shared" si="2"/>
        <v>0</v>
      </c>
      <c r="I182" s="8" t="str">
        <f t="array" ref="I182">IF(ISBLANK(K182)," ",_xlfn.XLOOKUP(#REF!,#REF!,#REF!))</f>
        <v xml:space="preserve"> </v>
      </c>
      <c r="J182" s="8" t="str">
        <f t="array" ref="J182">IF(ISBLANK(K182)," ",_xlfn.XLOOKUP(F182,Edades!$A$2:$A$101,IF(I182="F",Edades!$B$2:$B$101,Edades!$C$2:$C$101)))</f>
        <v xml:space="preserve"> </v>
      </c>
      <c r="K182" s="8"/>
      <c r="L182" s="8"/>
      <c r="M182" s="13"/>
      <c r="N182" s="8"/>
      <c r="O182" s="8"/>
      <c r="P182" s="8"/>
      <c r="Q182" s="8"/>
      <c r="R182" s="8"/>
      <c r="S182" s="8"/>
      <c r="T182" s="7"/>
      <c r="U182" s="7"/>
      <c r="V182" s="7"/>
      <c r="W182" s="7"/>
      <c r="X182" s="7"/>
      <c r="Y182" s="7"/>
      <c r="Z182" s="7"/>
      <c r="AA182" s="7"/>
    </row>
    <row r="183" spans="1:27">
      <c r="A183" s="7"/>
      <c r="B183" s="7"/>
      <c r="C183" s="7"/>
      <c r="D183" s="7"/>
      <c r="E183" s="7"/>
      <c r="F183" s="8" t="str">
        <f t="shared" si="3"/>
        <v xml:space="preserve"> </v>
      </c>
      <c r="G183" s="12" t="str">
        <f t="array" ref="G183">IF(ISBLANK(K183)," ",_xlfn.XLOOKUP(#REF!,#REF!,#REF!))</f>
        <v xml:space="preserve"> </v>
      </c>
      <c r="H183" s="13">
        <f t="shared" si="2"/>
        <v>0</v>
      </c>
      <c r="I183" s="8" t="str">
        <f t="array" ref="I183">IF(ISBLANK(K183)," ",_xlfn.XLOOKUP(#REF!,#REF!,#REF!))</f>
        <v xml:space="preserve"> </v>
      </c>
      <c r="J183" s="8" t="str">
        <f t="array" ref="J183">IF(ISBLANK(K183)," ",_xlfn.XLOOKUP(F183,Edades!$A$2:$A$101,IF(I183="F",Edades!$B$2:$B$101,Edades!$C$2:$C$101)))</f>
        <v xml:space="preserve"> </v>
      </c>
      <c r="K183" s="8"/>
      <c r="L183" s="8"/>
      <c r="M183" s="13"/>
      <c r="N183" s="8"/>
      <c r="O183" s="8"/>
      <c r="P183" s="8"/>
      <c r="Q183" s="8"/>
      <c r="R183" s="8"/>
      <c r="S183" s="8"/>
      <c r="T183" s="7"/>
      <c r="U183" s="7"/>
      <c r="V183" s="7"/>
      <c r="W183" s="7"/>
      <c r="X183" s="7"/>
      <c r="Y183" s="7"/>
      <c r="Z183" s="7"/>
      <c r="AA183" s="7"/>
    </row>
    <row r="184" spans="1:27">
      <c r="A184" s="7"/>
      <c r="B184" s="7"/>
      <c r="C184" s="7"/>
      <c r="D184" s="7"/>
      <c r="E184" s="7"/>
      <c r="F184" s="8" t="str">
        <f t="shared" si="3"/>
        <v xml:space="preserve"> </v>
      </c>
      <c r="G184" s="12" t="str">
        <f t="array" ref="G184">IF(ISBLANK(K184)," ",_xlfn.XLOOKUP(#REF!,#REF!,#REF!))</f>
        <v xml:space="preserve"> </v>
      </c>
      <c r="H184" s="13">
        <f t="shared" si="2"/>
        <v>0</v>
      </c>
      <c r="I184" s="8" t="str">
        <f t="array" ref="I184">IF(ISBLANK(K184)," ",_xlfn.XLOOKUP(#REF!,#REF!,#REF!))</f>
        <v xml:space="preserve"> </v>
      </c>
      <c r="J184" s="8" t="str">
        <f t="array" ref="J184">IF(ISBLANK(K184)," ",_xlfn.XLOOKUP(F184,Edades!$A$2:$A$101,IF(I184="F",Edades!$B$2:$B$101,Edades!$C$2:$C$101)))</f>
        <v xml:space="preserve"> </v>
      </c>
      <c r="K184" s="8"/>
      <c r="L184" s="8"/>
      <c r="M184" s="13"/>
      <c r="N184" s="8"/>
      <c r="O184" s="8"/>
      <c r="P184" s="8"/>
      <c r="Q184" s="8"/>
      <c r="R184" s="8"/>
      <c r="S184" s="8"/>
      <c r="T184" s="7"/>
      <c r="U184" s="7"/>
      <c r="V184" s="7"/>
      <c r="W184" s="7"/>
      <c r="X184" s="7"/>
      <c r="Y184" s="7"/>
      <c r="Z184" s="7"/>
      <c r="AA184" s="7"/>
    </row>
    <row r="185" spans="1:27">
      <c r="A185" s="7"/>
      <c r="B185" s="7"/>
      <c r="C185" s="7"/>
      <c r="D185" s="7"/>
      <c r="E185" s="7"/>
      <c r="F185" s="8" t="str">
        <f t="shared" si="3"/>
        <v xml:space="preserve"> </v>
      </c>
      <c r="G185" s="12" t="str">
        <f t="array" ref="G185">IF(ISBLANK(K185)," ",_xlfn.XLOOKUP(#REF!,#REF!,#REF!))</f>
        <v xml:space="preserve"> </v>
      </c>
      <c r="H185" s="13">
        <f t="shared" si="2"/>
        <v>0</v>
      </c>
      <c r="I185" s="8" t="str">
        <f t="array" ref="I185">IF(ISBLANK(K185)," ",_xlfn.XLOOKUP(#REF!,#REF!,#REF!))</f>
        <v xml:space="preserve"> </v>
      </c>
      <c r="J185" s="8" t="str">
        <f t="array" ref="J185">IF(ISBLANK(K185)," ",_xlfn.XLOOKUP(F185,Edades!$A$2:$A$101,IF(I185="F",Edades!$B$2:$B$101,Edades!$C$2:$C$101)))</f>
        <v xml:space="preserve"> </v>
      </c>
      <c r="K185" s="8"/>
      <c r="L185" s="8"/>
      <c r="M185" s="13"/>
      <c r="N185" s="8"/>
      <c r="O185" s="8"/>
      <c r="P185" s="8"/>
      <c r="Q185" s="8"/>
      <c r="R185" s="8"/>
      <c r="S185" s="8"/>
      <c r="T185" s="7"/>
      <c r="U185" s="7"/>
      <c r="V185" s="7"/>
      <c r="W185" s="7"/>
      <c r="X185" s="7"/>
      <c r="Y185" s="7"/>
      <c r="Z185" s="7"/>
      <c r="AA185" s="7"/>
    </row>
    <row r="186" spans="1:27">
      <c r="A186" s="7"/>
      <c r="B186" s="7"/>
      <c r="C186" s="7"/>
      <c r="D186" s="7"/>
      <c r="E186" s="7"/>
      <c r="F186" s="8" t="str">
        <f t="shared" si="3"/>
        <v xml:space="preserve"> </v>
      </c>
      <c r="G186" s="12" t="str">
        <f t="array" ref="G186">IF(ISBLANK(K186)," ",_xlfn.XLOOKUP(#REF!,#REF!,#REF!))</f>
        <v xml:space="preserve"> </v>
      </c>
      <c r="H186" s="13">
        <f t="shared" si="2"/>
        <v>0</v>
      </c>
      <c r="I186" s="8" t="str">
        <f t="array" ref="I186">IF(ISBLANK(K186)," ",_xlfn.XLOOKUP(#REF!,#REF!,#REF!))</f>
        <v xml:space="preserve"> </v>
      </c>
      <c r="J186" s="8" t="str">
        <f t="array" ref="J186">IF(ISBLANK(K186)," ",_xlfn.XLOOKUP(F186,Edades!$A$2:$A$101,IF(I186="F",Edades!$B$2:$B$101,Edades!$C$2:$C$101)))</f>
        <v xml:space="preserve"> </v>
      </c>
      <c r="K186" s="8"/>
      <c r="L186" s="8"/>
      <c r="M186" s="13"/>
      <c r="N186" s="8"/>
      <c r="O186" s="8"/>
      <c r="P186" s="8"/>
      <c r="Q186" s="8"/>
      <c r="R186" s="8"/>
      <c r="S186" s="8"/>
      <c r="T186" s="7"/>
      <c r="U186" s="7"/>
      <c r="V186" s="7"/>
      <c r="W186" s="7"/>
      <c r="X186" s="7"/>
      <c r="Y186" s="7"/>
      <c r="Z186" s="7"/>
      <c r="AA186" s="7"/>
    </row>
    <row r="187" spans="1:27">
      <c r="A187" s="7"/>
      <c r="B187" s="7"/>
      <c r="C187" s="7"/>
      <c r="D187" s="7"/>
      <c r="E187" s="7"/>
      <c r="F187" s="8" t="str">
        <f t="shared" si="3"/>
        <v xml:space="preserve"> </v>
      </c>
      <c r="G187" s="12" t="str">
        <f t="array" ref="G187">IF(ISBLANK(K187)," ",_xlfn.XLOOKUP(#REF!,#REF!,#REF!))</f>
        <v xml:space="preserve"> </v>
      </c>
      <c r="H187" s="13">
        <f t="shared" si="2"/>
        <v>0</v>
      </c>
      <c r="I187" s="8" t="str">
        <f t="array" ref="I187">IF(ISBLANK(K187)," ",_xlfn.XLOOKUP(#REF!,#REF!,#REF!))</f>
        <v xml:space="preserve"> </v>
      </c>
      <c r="J187" s="8" t="str">
        <f t="array" ref="J187">IF(ISBLANK(K187)," ",_xlfn.XLOOKUP(F187,Edades!$A$2:$A$101,IF(I187="F",Edades!$B$2:$B$101,Edades!$C$2:$C$101)))</f>
        <v xml:space="preserve"> </v>
      </c>
      <c r="K187" s="8"/>
      <c r="L187" s="8"/>
      <c r="M187" s="13"/>
      <c r="N187" s="8"/>
      <c r="O187" s="8"/>
      <c r="P187" s="8"/>
      <c r="Q187" s="8"/>
      <c r="R187" s="8"/>
      <c r="S187" s="8"/>
      <c r="T187" s="7"/>
      <c r="U187" s="7"/>
      <c r="V187" s="7"/>
      <c r="W187" s="7"/>
      <c r="X187" s="7"/>
      <c r="Y187" s="7"/>
      <c r="Z187" s="7"/>
      <c r="AA187" s="7"/>
    </row>
    <row r="188" spans="1:27">
      <c r="A188" s="7"/>
      <c r="B188" s="7"/>
      <c r="C188" s="7"/>
      <c r="D188" s="7"/>
      <c r="E188" s="7"/>
      <c r="F188" s="8" t="str">
        <f t="shared" si="3"/>
        <v xml:space="preserve"> </v>
      </c>
      <c r="G188" s="12" t="str">
        <f t="array" ref="G188">IF(ISBLANK(K188)," ",_xlfn.XLOOKUP(#REF!,#REF!,#REF!))</f>
        <v xml:space="preserve"> </v>
      </c>
      <c r="H188" s="13">
        <f t="shared" si="2"/>
        <v>0</v>
      </c>
      <c r="I188" s="8" t="str">
        <f t="array" ref="I188">IF(ISBLANK(K188)," ",_xlfn.XLOOKUP(#REF!,#REF!,#REF!))</f>
        <v xml:space="preserve"> </v>
      </c>
      <c r="J188" s="8" t="str">
        <f t="array" ref="J188">IF(ISBLANK(K188)," ",_xlfn.XLOOKUP(F188,Edades!$A$2:$A$101,IF(I188="F",Edades!$B$2:$B$101,Edades!$C$2:$C$101)))</f>
        <v xml:space="preserve"> </v>
      </c>
      <c r="K188" s="8"/>
      <c r="L188" s="8"/>
      <c r="M188" s="13"/>
      <c r="N188" s="8"/>
      <c r="O188" s="8"/>
      <c r="P188" s="8"/>
      <c r="Q188" s="8"/>
      <c r="R188" s="8"/>
      <c r="S188" s="8"/>
      <c r="T188" s="7"/>
      <c r="U188" s="7"/>
      <c r="V188" s="7"/>
      <c r="W188" s="7"/>
      <c r="X188" s="7"/>
      <c r="Y188" s="7"/>
      <c r="Z188" s="7"/>
      <c r="AA188" s="7"/>
    </row>
    <row r="189" spans="1:27">
      <c r="A189" s="7"/>
      <c r="B189" s="7"/>
      <c r="C189" s="7"/>
      <c r="D189" s="7"/>
      <c r="E189" s="7"/>
      <c r="F189" s="8" t="str">
        <f t="shared" si="3"/>
        <v xml:space="preserve"> </v>
      </c>
      <c r="G189" s="12" t="str">
        <f t="array" ref="G189">IF(ISBLANK(K189)," ",_xlfn.XLOOKUP(#REF!,#REF!,#REF!))</f>
        <v xml:space="preserve"> </v>
      </c>
      <c r="H189" s="13">
        <f t="shared" si="2"/>
        <v>0</v>
      </c>
      <c r="I189" s="8" t="str">
        <f t="array" ref="I189">IF(ISBLANK(K189)," ",_xlfn.XLOOKUP(#REF!,#REF!,#REF!))</f>
        <v xml:space="preserve"> </v>
      </c>
      <c r="J189" s="8" t="str">
        <f t="array" ref="J189">IF(ISBLANK(K189)," ",_xlfn.XLOOKUP(F189,Edades!$A$2:$A$101,IF(I189="F",Edades!$B$2:$B$101,Edades!$C$2:$C$101)))</f>
        <v xml:space="preserve"> </v>
      </c>
      <c r="K189" s="8"/>
      <c r="L189" s="8"/>
      <c r="M189" s="13"/>
      <c r="N189" s="8"/>
      <c r="O189" s="8"/>
      <c r="P189" s="8"/>
      <c r="Q189" s="8"/>
      <c r="R189" s="8"/>
      <c r="S189" s="8"/>
      <c r="T189" s="7"/>
      <c r="U189" s="7"/>
      <c r="V189" s="7"/>
      <c r="W189" s="7"/>
      <c r="X189" s="7"/>
      <c r="Y189" s="7"/>
      <c r="Z189" s="7"/>
      <c r="AA189" s="7"/>
    </row>
    <row r="190" spans="1:27">
      <c r="A190" s="7"/>
      <c r="B190" s="7"/>
      <c r="C190" s="7"/>
      <c r="D190" s="7"/>
      <c r="E190" s="7"/>
      <c r="F190" s="8" t="str">
        <f t="shared" si="3"/>
        <v xml:space="preserve"> </v>
      </c>
      <c r="G190" s="12" t="str">
        <f t="array" ref="G190">IF(ISBLANK(K190)," ",_xlfn.XLOOKUP(#REF!,#REF!,#REF!))</f>
        <v xml:space="preserve"> </v>
      </c>
      <c r="H190" s="13">
        <f t="shared" si="2"/>
        <v>0</v>
      </c>
      <c r="I190" s="8" t="str">
        <f t="array" ref="I190">IF(ISBLANK(K190)," ",_xlfn.XLOOKUP(#REF!,#REF!,#REF!))</f>
        <v xml:space="preserve"> </v>
      </c>
      <c r="J190" s="8" t="str">
        <f t="array" ref="J190">IF(ISBLANK(K190)," ",_xlfn.XLOOKUP(F190,Edades!$A$2:$A$101,IF(I190="F",Edades!$B$2:$B$101,Edades!$C$2:$C$101)))</f>
        <v xml:space="preserve"> </v>
      </c>
      <c r="K190" s="8"/>
      <c r="L190" s="8"/>
      <c r="M190" s="13"/>
      <c r="N190" s="8"/>
      <c r="O190" s="8"/>
      <c r="P190" s="8"/>
      <c r="Q190" s="8"/>
      <c r="R190" s="8"/>
      <c r="S190" s="8"/>
      <c r="T190" s="7"/>
      <c r="U190" s="7"/>
      <c r="V190" s="7"/>
      <c r="W190" s="7"/>
      <c r="X190" s="7"/>
      <c r="Y190" s="7"/>
      <c r="Z190" s="7"/>
      <c r="AA190" s="7"/>
    </row>
    <row r="191" spans="1:27">
      <c r="A191" s="7"/>
      <c r="B191" s="7"/>
      <c r="C191" s="7"/>
      <c r="D191" s="7"/>
      <c r="E191" s="7"/>
      <c r="F191" s="8" t="str">
        <f t="shared" si="3"/>
        <v xml:space="preserve"> </v>
      </c>
      <c r="G191" s="12" t="str">
        <f t="array" ref="G191">IF(ISBLANK(K191)," ",_xlfn.XLOOKUP(#REF!,#REF!,#REF!))</f>
        <v xml:space="preserve"> </v>
      </c>
      <c r="H191" s="13">
        <f t="shared" si="2"/>
        <v>0</v>
      </c>
      <c r="I191" s="8" t="str">
        <f t="array" ref="I191">IF(ISBLANK(K191)," ",_xlfn.XLOOKUP(#REF!,#REF!,#REF!))</f>
        <v xml:space="preserve"> </v>
      </c>
      <c r="J191" s="8" t="str">
        <f t="array" ref="J191">IF(ISBLANK(K191)," ",_xlfn.XLOOKUP(F191,Edades!$A$2:$A$101,IF(I191="F",Edades!$B$2:$B$101,Edades!$C$2:$C$101)))</f>
        <v xml:space="preserve"> </v>
      </c>
      <c r="K191" s="8"/>
      <c r="L191" s="8"/>
      <c r="M191" s="13"/>
      <c r="N191" s="8"/>
      <c r="O191" s="8"/>
      <c r="P191" s="8"/>
      <c r="Q191" s="8"/>
      <c r="R191" s="8"/>
      <c r="S191" s="8"/>
      <c r="T191" s="7"/>
      <c r="U191" s="7"/>
      <c r="V191" s="7"/>
      <c r="W191" s="7"/>
      <c r="X191" s="7"/>
      <c r="Y191" s="7"/>
      <c r="Z191" s="7"/>
      <c r="AA191" s="7"/>
    </row>
    <row r="192" spans="1:27">
      <c r="A192" s="7"/>
      <c r="B192" s="7"/>
      <c r="C192" s="7"/>
      <c r="D192" s="7"/>
      <c r="E192" s="7"/>
      <c r="F192" s="8" t="str">
        <f t="shared" si="3"/>
        <v xml:space="preserve"> </v>
      </c>
      <c r="G192" s="12" t="str">
        <f t="array" ref="G192">IF(ISBLANK(K192)," ",_xlfn.XLOOKUP(#REF!,#REF!,#REF!))</f>
        <v xml:space="preserve"> </v>
      </c>
      <c r="H192" s="13">
        <f t="shared" si="2"/>
        <v>0</v>
      </c>
      <c r="I192" s="8" t="str">
        <f t="array" ref="I192">IF(ISBLANK(K192)," ",_xlfn.XLOOKUP(#REF!,#REF!,#REF!))</f>
        <v xml:space="preserve"> </v>
      </c>
      <c r="J192" s="8" t="str">
        <f t="array" ref="J192">IF(ISBLANK(K192)," ",_xlfn.XLOOKUP(F192,Edades!$A$2:$A$101,IF(I192="F",Edades!$B$2:$B$101,Edades!$C$2:$C$101)))</f>
        <v xml:space="preserve"> </v>
      </c>
      <c r="K192" s="8"/>
      <c r="L192" s="8"/>
      <c r="M192" s="13"/>
      <c r="N192" s="8"/>
      <c r="O192" s="8"/>
      <c r="P192" s="8"/>
      <c r="Q192" s="8"/>
      <c r="R192" s="8"/>
      <c r="S192" s="8"/>
      <c r="T192" s="7"/>
      <c r="U192" s="7"/>
      <c r="V192" s="7"/>
      <c r="W192" s="7"/>
      <c r="X192" s="7"/>
      <c r="Y192" s="7"/>
      <c r="Z192" s="7"/>
      <c r="AA192" s="7"/>
    </row>
    <row r="193" spans="1:27">
      <c r="A193" s="7"/>
      <c r="B193" s="7"/>
      <c r="C193" s="7"/>
      <c r="D193" s="7"/>
      <c r="E193" s="7"/>
      <c r="F193" s="8" t="str">
        <f t="shared" si="3"/>
        <v xml:space="preserve"> </v>
      </c>
      <c r="G193" s="12" t="str">
        <f t="array" ref="G193">IF(ISBLANK(K193)," ",_xlfn.XLOOKUP(#REF!,#REF!,#REF!))</f>
        <v xml:space="preserve"> </v>
      </c>
      <c r="H193" s="13">
        <f t="shared" si="2"/>
        <v>0</v>
      </c>
      <c r="I193" s="8" t="str">
        <f t="array" ref="I193">IF(ISBLANK(K193)," ",_xlfn.XLOOKUP(#REF!,#REF!,#REF!))</f>
        <v xml:space="preserve"> </v>
      </c>
      <c r="J193" s="8" t="str">
        <f t="array" ref="J193">IF(ISBLANK(K193)," ",_xlfn.XLOOKUP(F193,Edades!$A$2:$A$101,IF(I193="F",Edades!$B$2:$B$101,Edades!$C$2:$C$101)))</f>
        <v xml:space="preserve"> </v>
      </c>
      <c r="K193" s="8"/>
      <c r="L193" s="8"/>
      <c r="M193" s="13"/>
      <c r="N193" s="8"/>
      <c r="O193" s="8"/>
      <c r="P193" s="8"/>
      <c r="Q193" s="8"/>
      <c r="R193" s="8"/>
      <c r="S193" s="8"/>
      <c r="T193" s="7"/>
      <c r="U193" s="7"/>
      <c r="V193" s="7"/>
      <c r="W193" s="7"/>
      <c r="X193" s="7"/>
      <c r="Y193" s="7"/>
      <c r="Z193" s="7"/>
      <c r="AA193" s="7"/>
    </row>
    <row r="194" spans="1:27">
      <c r="A194" s="7"/>
      <c r="B194" s="7"/>
      <c r="C194" s="7"/>
      <c r="D194" s="7"/>
      <c r="E194" s="7"/>
      <c r="F194" s="8" t="str">
        <f t="shared" si="3"/>
        <v xml:space="preserve"> </v>
      </c>
      <c r="G194" s="12" t="str">
        <f t="array" ref="G194">IF(ISBLANK(K194)," ",_xlfn.XLOOKUP(#REF!,#REF!,#REF!))</f>
        <v xml:space="preserve"> </v>
      </c>
      <c r="H194" s="13">
        <f t="shared" si="2"/>
        <v>0</v>
      </c>
      <c r="I194" s="8" t="str">
        <f t="array" ref="I194">IF(ISBLANK(K194)," ",_xlfn.XLOOKUP(#REF!,#REF!,#REF!))</f>
        <v xml:space="preserve"> </v>
      </c>
      <c r="J194" s="8" t="str">
        <f t="array" ref="J194">IF(ISBLANK(K194)," ",_xlfn.XLOOKUP(F194,Edades!$A$2:$A$101,IF(I194="F",Edades!$B$2:$B$101,Edades!$C$2:$C$101)))</f>
        <v xml:space="preserve"> </v>
      </c>
      <c r="K194" s="8"/>
      <c r="L194" s="8"/>
      <c r="M194" s="13"/>
      <c r="N194" s="8"/>
      <c r="O194" s="8"/>
      <c r="P194" s="8"/>
      <c r="Q194" s="8"/>
      <c r="R194" s="8"/>
      <c r="S194" s="8"/>
      <c r="T194" s="7"/>
      <c r="U194" s="7"/>
      <c r="V194" s="7"/>
      <c r="W194" s="7"/>
      <c r="X194" s="7"/>
      <c r="Y194" s="7"/>
      <c r="Z194" s="7"/>
      <c r="AA194" s="7"/>
    </row>
    <row r="195" spans="1:27">
      <c r="A195" s="7"/>
      <c r="B195" s="7"/>
      <c r="C195" s="7"/>
      <c r="D195" s="7"/>
      <c r="E195" s="7"/>
      <c r="F195" s="8" t="str">
        <f t="shared" si="3"/>
        <v xml:space="preserve"> </v>
      </c>
      <c r="G195" s="12" t="str">
        <f t="array" ref="G195">IF(ISBLANK(K195)," ",_xlfn.XLOOKUP(#REF!,#REF!,#REF!))</f>
        <v xml:space="preserve"> </v>
      </c>
      <c r="H195" s="13">
        <f t="shared" si="2"/>
        <v>0</v>
      </c>
      <c r="I195" s="8" t="str">
        <f t="array" ref="I195">IF(ISBLANK(K195)," ",_xlfn.XLOOKUP(#REF!,#REF!,#REF!))</f>
        <v xml:space="preserve"> </v>
      </c>
      <c r="J195" s="8" t="str">
        <f t="array" ref="J195">IF(ISBLANK(K195)," ",_xlfn.XLOOKUP(F195,Edades!$A$2:$A$101,IF(I195="F",Edades!$B$2:$B$101,Edades!$C$2:$C$101)))</f>
        <v xml:space="preserve"> </v>
      </c>
      <c r="K195" s="8"/>
      <c r="L195" s="8"/>
      <c r="M195" s="13"/>
      <c r="N195" s="8"/>
      <c r="O195" s="8"/>
      <c r="P195" s="8"/>
      <c r="Q195" s="8"/>
      <c r="R195" s="8"/>
      <c r="S195" s="8"/>
      <c r="T195" s="7"/>
      <c r="U195" s="7"/>
      <c r="V195" s="7"/>
      <c r="W195" s="7"/>
      <c r="X195" s="7"/>
      <c r="Y195" s="7"/>
      <c r="Z195" s="7"/>
      <c r="AA195" s="7"/>
    </row>
    <row r="196" spans="1:27">
      <c r="A196" s="7"/>
      <c r="B196" s="7"/>
      <c r="C196" s="7"/>
      <c r="D196" s="7"/>
      <c r="E196" s="7"/>
      <c r="F196" s="8" t="str">
        <f t="shared" si="3"/>
        <v xml:space="preserve"> </v>
      </c>
      <c r="G196" s="12" t="str">
        <f t="array" ref="G196">IF(ISBLANK(K196)," ",_xlfn.XLOOKUP(#REF!,#REF!,#REF!))</f>
        <v xml:space="preserve"> </v>
      </c>
      <c r="H196" s="13">
        <f t="shared" si="2"/>
        <v>0</v>
      </c>
      <c r="I196" s="8" t="str">
        <f t="array" ref="I196">IF(ISBLANK(K196)," ",_xlfn.XLOOKUP(#REF!,#REF!,#REF!))</f>
        <v xml:space="preserve"> </v>
      </c>
      <c r="J196" s="8" t="str">
        <f t="array" ref="J196">IF(ISBLANK(K196)," ",_xlfn.XLOOKUP(F196,Edades!$A$2:$A$101,IF(I196="F",Edades!$B$2:$B$101,Edades!$C$2:$C$101)))</f>
        <v xml:space="preserve"> </v>
      </c>
      <c r="K196" s="8"/>
      <c r="L196" s="8"/>
      <c r="M196" s="13"/>
      <c r="N196" s="8"/>
      <c r="O196" s="8"/>
      <c r="P196" s="8"/>
      <c r="Q196" s="8"/>
      <c r="R196" s="8"/>
      <c r="S196" s="8"/>
      <c r="T196" s="7"/>
      <c r="U196" s="7"/>
      <c r="V196" s="7"/>
      <c r="W196" s="7"/>
      <c r="X196" s="7"/>
      <c r="Y196" s="7"/>
      <c r="Z196" s="7"/>
      <c r="AA196" s="7"/>
    </row>
    <row r="197" spans="1:27">
      <c r="A197" s="7"/>
      <c r="B197" s="7"/>
      <c r="C197" s="7"/>
      <c r="D197" s="7"/>
      <c r="E197" s="7"/>
      <c r="F197" s="8" t="str">
        <f t="shared" si="3"/>
        <v xml:space="preserve"> </v>
      </c>
      <c r="G197" s="12" t="str">
        <f t="array" ref="G197">IF(ISBLANK(K197)," ",_xlfn.XLOOKUP(#REF!,#REF!,#REF!))</f>
        <v xml:space="preserve"> </v>
      </c>
      <c r="H197" s="13">
        <f t="shared" si="2"/>
        <v>0</v>
      </c>
      <c r="I197" s="8" t="str">
        <f t="array" ref="I197">IF(ISBLANK(K197)," ",_xlfn.XLOOKUP(#REF!,#REF!,#REF!))</f>
        <v xml:space="preserve"> </v>
      </c>
      <c r="J197" s="8" t="str">
        <f t="array" ref="J197">IF(ISBLANK(K197)," ",_xlfn.XLOOKUP(F197,Edades!$A$2:$A$101,IF(I197="F",Edades!$B$2:$B$101,Edades!$C$2:$C$101)))</f>
        <v xml:space="preserve"> </v>
      </c>
      <c r="K197" s="8"/>
      <c r="L197" s="8"/>
      <c r="M197" s="13"/>
      <c r="N197" s="8"/>
      <c r="O197" s="8"/>
      <c r="P197" s="8"/>
      <c r="Q197" s="8"/>
      <c r="R197" s="8"/>
      <c r="S197" s="8"/>
      <c r="T197" s="7"/>
      <c r="U197" s="7"/>
      <c r="V197" s="7"/>
      <c r="W197" s="7"/>
      <c r="X197" s="7"/>
      <c r="Y197" s="7"/>
      <c r="Z197" s="7"/>
      <c r="AA197" s="7"/>
    </row>
    <row r="198" spans="1:27">
      <c r="A198" s="7"/>
      <c r="B198" s="7"/>
      <c r="C198" s="7"/>
      <c r="D198" s="7"/>
      <c r="E198" s="7"/>
      <c r="F198" s="8" t="str">
        <f t="shared" si="3"/>
        <v xml:space="preserve"> </v>
      </c>
      <c r="G198" s="12" t="str">
        <f t="array" ref="G198">IF(ISBLANK(K198)," ",_xlfn.XLOOKUP(#REF!,#REF!,#REF!))</f>
        <v xml:space="preserve"> </v>
      </c>
      <c r="H198" s="13">
        <f t="shared" si="2"/>
        <v>0</v>
      </c>
      <c r="I198" s="8" t="str">
        <f t="array" ref="I198">IF(ISBLANK(K198)," ",_xlfn.XLOOKUP(#REF!,#REF!,#REF!))</f>
        <v xml:space="preserve"> </v>
      </c>
      <c r="J198" s="8" t="str">
        <f t="array" ref="J198">IF(ISBLANK(K198)," ",_xlfn.XLOOKUP(F198,Edades!$A$2:$A$101,IF(I198="F",Edades!$B$2:$B$101,Edades!$C$2:$C$101)))</f>
        <v xml:space="preserve"> </v>
      </c>
      <c r="K198" s="8"/>
      <c r="L198" s="8"/>
      <c r="M198" s="13"/>
      <c r="N198" s="8"/>
      <c r="O198" s="8"/>
      <c r="P198" s="8"/>
      <c r="Q198" s="8"/>
      <c r="R198" s="8"/>
      <c r="S198" s="8"/>
      <c r="T198" s="7"/>
      <c r="U198" s="7"/>
      <c r="V198" s="7"/>
      <c r="W198" s="7"/>
      <c r="X198" s="7"/>
      <c r="Y198" s="7"/>
      <c r="Z198" s="7"/>
      <c r="AA198" s="7"/>
    </row>
    <row r="199" spans="1:27">
      <c r="A199" s="7"/>
      <c r="B199" s="7"/>
      <c r="C199" s="7"/>
      <c r="D199" s="7"/>
      <c r="E199" s="7"/>
      <c r="F199" s="8" t="str">
        <f t="shared" si="3"/>
        <v xml:space="preserve"> </v>
      </c>
      <c r="G199" s="12" t="str">
        <f t="array" ref="G199">IF(ISBLANK(K199)," ",_xlfn.XLOOKUP(#REF!,#REF!,#REF!))</f>
        <v xml:space="preserve"> </v>
      </c>
      <c r="H199" s="13">
        <f t="shared" si="2"/>
        <v>0</v>
      </c>
      <c r="I199" s="8" t="str">
        <f t="array" ref="I199">IF(ISBLANK(K199)," ",_xlfn.XLOOKUP(#REF!,#REF!,#REF!))</f>
        <v xml:space="preserve"> </v>
      </c>
      <c r="J199" s="8" t="str">
        <f t="array" ref="J199">IF(ISBLANK(K199)," ",_xlfn.XLOOKUP(F199,Edades!$A$2:$A$101,IF(I199="F",Edades!$B$2:$B$101,Edades!$C$2:$C$101)))</f>
        <v xml:space="preserve"> </v>
      </c>
      <c r="K199" s="8"/>
      <c r="L199" s="8"/>
      <c r="M199" s="13"/>
      <c r="N199" s="8"/>
      <c r="O199" s="8"/>
      <c r="P199" s="8"/>
      <c r="Q199" s="8"/>
      <c r="R199" s="8"/>
      <c r="S199" s="8"/>
      <c r="T199" s="7"/>
      <c r="U199" s="7"/>
      <c r="V199" s="7"/>
      <c r="W199" s="7"/>
      <c r="X199" s="7"/>
      <c r="Y199" s="7"/>
      <c r="Z199" s="7"/>
      <c r="AA199" s="7"/>
    </row>
    <row r="200" spans="1:27">
      <c r="A200" s="7"/>
      <c r="B200" s="7"/>
      <c r="C200" s="7"/>
      <c r="D200" s="7"/>
      <c r="E200" s="7"/>
      <c r="F200" s="8" t="str">
        <f t="shared" si="3"/>
        <v xml:space="preserve"> </v>
      </c>
      <c r="G200" s="12" t="str">
        <f t="array" ref="G200">IF(ISBLANK(K200)," ",_xlfn.XLOOKUP(#REF!,#REF!,#REF!))</f>
        <v xml:space="preserve"> </v>
      </c>
      <c r="H200" s="13">
        <f t="shared" si="2"/>
        <v>0</v>
      </c>
      <c r="I200" s="8" t="str">
        <f t="array" ref="I200">IF(ISBLANK(K200)," ",_xlfn.XLOOKUP(#REF!,#REF!,#REF!))</f>
        <v xml:space="preserve"> </v>
      </c>
      <c r="J200" s="8" t="str">
        <f t="array" ref="J200">IF(ISBLANK(K200)," ",_xlfn.XLOOKUP(F200,Edades!$A$2:$A$101,IF(I200="F",Edades!$B$2:$B$101,Edades!$C$2:$C$101)))</f>
        <v xml:space="preserve"> </v>
      </c>
      <c r="K200" s="8"/>
      <c r="L200" s="8"/>
      <c r="M200" s="13"/>
      <c r="N200" s="8"/>
      <c r="O200" s="8"/>
      <c r="P200" s="8"/>
      <c r="Q200" s="8"/>
      <c r="R200" s="8"/>
      <c r="S200" s="8"/>
      <c r="T200" s="7"/>
      <c r="U200" s="7"/>
      <c r="V200" s="7"/>
      <c r="W200" s="7"/>
      <c r="X200" s="7"/>
      <c r="Y200" s="7"/>
      <c r="Z200" s="7"/>
      <c r="AA200" s="7"/>
    </row>
    <row r="201" spans="1:27">
      <c r="A201" s="7"/>
      <c r="B201" s="7"/>
      <c r="C201" s="7"/>
      <c r="D201" s="7"/>
      <c r="E201" s="7"/>
      <c r="F201" s="8" t="str">
        <f t="shared" si="3"/>
        <v xml:space="preserve"> </v>
      </c>
      <c r="G201" s="12" t="str">
        <f t="array" ref="G201">IF(ISBLANK(K201)," ",_xlfn.XLOOKUP(#REF!,#REF!,#REF!))</f>
        <v xml:space="preserve"> </v>
      </c>
      <c r="H201" s="13">
        <f t="shared" si="2"/>
        <v>0</v>
      </c>
      <c r="I201" s="8" t="str">
        <f t="array" ref="I201">IF(ISBLANK(K201)," ",_xlfn.XLOOKUP(#REF!,#REF!,#REF!))</f>
        <v xml:space="preserve"> </v>
      </c>
      <c r="J201" s="8" t="str">
        <f t="array" ref="J201">IF(ISBLANK(K201)," ",_xlfn.XLOOKUP(F201,Edades!$A$2:$A$101,IF(I201="F",Edades!$B$2:$B$101,Edades!$C$2:$C$101)))</f>
        <v xml:space="preserve"> </v>
      </c>
      <c r="K201" s="8"/>
      <c r="L201" s="8"/>
      <c r="M201" s="13"/>
      <c r="N201" s="8"/>
      <c r="O201" s="8"/>
      <c r="P201" s="8"/>
      <c r="Q201" s="8"/>
      <c r="R201" s="8"/>
      <c r="S201" s="8"/>
      <c r="T201" s="7"/>
      <c r="U201" s="7"/>
      <c r="V201" s="7"/>
      <c r="W201" s="7"/>
      <c r="X201" s="7"/>
      <c r="Y201" s="7"/>
      <c r="Z201" s="7"/>
      <c r="AA201" s="7"/>
    </row>
    <row r="202" spans="1:27">
      <c r="A202" s="7"/>
      <c r="B202" s="7"/>
      <c r="C202" s="7"/>
      <c r="D202" s="7"/>
      <c r="E202" s="7"/>
      <c r="F202" s="8" t="str">
        <f t="shared" si="3"/>
        <v xml:space="preserve"> </v>
      </c>
      <c r="G202" s="12" t="str">
        <f t="array" ref="G202">IF(ISBLANK(K202)," ",_xlfn.XLOOKUP(#REF!,#REF!,#REF!))</f>
        <v xml:space="preserve"> </v>
      </c>
      <c r="H202" s="13">
        <f t="shared" si="2"/>
        <v>0</v>
      </c>
      <c r="I202" s="8" t="str">
        <f t="array" ref="I202">IF(ISBLANK(K202)," ",_xlfn.XLOOKUP(#REF!,#REF!,#REF!))</f>
        <v xml:space="preserve"> </v>
      </c>
      <c r="J202" s="8" t="str">
        <f t="array" ref="J202">IF(ISBLANK(K202)," ",_xlfn.XLOOKUP(F202,Edades!$A$2:$A$101,IF(I202="F",Edades!$B$2:$B$101,Edades!$C$2:$C$101)))</f>
        <v xml:space="preserve"> </v>
      </c>
      <c r="K202" s="8"/>
      <c r="L202" s="8"/>
      <c r="M202" s="13"/>
      <c r="N202" s="8"/>
      <c r="O202" s="8"/>
      <c r="P202" s="8"/>
      <c r="Q202" s="8"/>
      <c r="R202" s="8"/>
      <c r="S202" s="8"/>
      <c r="T202" s="7"/>
      <c r="U202" s="7"/>
      <c r="V202" s="7"/>
      <c r="W202" s="7"/>
      <c r="X202" s="7"/>
      <c r="Y202" s="7"/>
      <c r="Z202" s="7"/>
      <c r="AA202" s="7"/>
    </row>
    <row r="203" spans="1:27">
      <c r="A203" s="7"/>
      <c r="B203" s="7"/>
      <c r="C203" s="7"/>
      <c r="D203" s="7"/>
      <c r="E203" s="7"/>
      <c r="F203" s="8" t="str">
        <f t="shared" si="3"/>
        <v xml:space="preserve"> </v>
      </c>
      <c r="G203" s="12" t="str">
        <f t="array" ref="G203">IF(ISBLANK(K203)," ",_xlfn.XLOOKUP(#REF!,#REF!,#REF!))</f>
        <v xml:space="preserve"> </v>
      </c>
      <c r="H203" s="13">
        <f t="shared" si="2"/>
        <v>0</v>
      </c>
      <c r="I203" s="8" t="str">
        <f t="array" ref="I203">IF(ISBLANK(K203)," ",_xlfn.XLOOKUP(#REF!,#REF!,#REF!))</f>
        <v xml:space="preserve"> </v>
      </c>
      <c r="J203" s="8" t="str">
        <f t="array" ref="J203">IF(ISBLANK(K203)," ",_xlfn.XLOOKUP(F203,Edades!$A$2:$A$101,IF(I203="F",Edades!$B$2:$B$101,Edades!$C$2:$C$101)))</f>
        <v xml:space="preserve"> </v>
      </c>
      <c r="K203" s="8"/>
      <c r="L203" s="8"/>
      <c r="M203" s="13"/>
      <c r="N203" s="8"/>
      <c r="O203" s="8"/>
      <c r="P203" s="8"/>
      <c r="Q203" s="8"/>
      <c r="R203" s="8"/>
      <c r="S203" s="8"/>
      <c r="T203" s="7"/>
      <c r="U203" s="7"/>
      <c r="V203" s="7"/>
      <c r="W203" s="7"/>
      <c r="X203" s="7"/>
      <c r="Y203" s="7"/>
      <c r="Z203" s="7"/>
      <c r="AA203" s="7"/>
    </row>
    <row r="204" spans="1:27">
      <c r="A204" s="7"/>
      <c r="B204" s="7"/>
      <c r="C204" s="7"/>
      <c r="D204" s="7"/>
      <c r="E204" s="7"/>
      <c r="F204" s="8" t="str">
        <f t="shared" si="3"/>
        <v xml:space="preserve"> </v>
      </c>
      <c r="G204" s="12" t="str">
        <f t="array" ref="G204">IF(ISBLANK(K204)," ",_xlfn.XLOOKUP(#REF!,#REF!,#REF!))</f>
        <v xml:space="preserve"> </v>
      </c>
      <c r="H204" s="13">
        <f t="shared" si="2"/>
        <v>0</v>
      </c>
      <c r="I204" s="8" t="str">
        <f t="array" ref="I204">IF(ISBLANK(K204)," ",_xlfn.XLOOKUP(#REF!,#REF!,#REF!))</f>
        <v xml:space="preserve"> </v>
      </c>
      <c r="J204" s="8" t="str">
        <f t="array" ref="J204">IF(ISBLANK(K204)," ",_xlfn.XLOOKUP(F204,Edades!$A$2:$A$101,IF(I204="F",Edades!$B$2:$B$101,Edades!$C$2:$C$101)))</f>
        <v xml:space="preserve"> </v>
      </c>
      <c r="K204" s="8"/>
      <c r="L204" s="8"/>
      <c r="M204" s="13"/>
      <c r="N204" s="8"/>
      <c r="O204" s="8"/>
      <c r="P204" s="8"/>
      <c r="Q204" s="8"/>
      <c r="R204" s="8"/>
      <c r="S204" s="8"/>
      <c r="T204" s="7"/>
      <c r="U204" s="7"/>
      <c r="V204" s="7"/>
      <c r="W204" s="7"/>
      <c r="X204" s="7"/>
      <c r="Y204" s="7"/>
      <c r="Z204" s="7"/>
      <c r="AA204" s="7"/>
    </row>
    <row r="205" spans="1:27">
      <c r="A205" s="7"/>
      <c r="B205" s="7"/>
      <c r="C205" s="7"/>
      <c r="D205" s="7"/>
      <c r="E205" s="7"/>
      <c r="F205" s="8" t="str">
        <f t="shared" si="3"/>
        <v xml:space="preserve"> </v>
      </c>
      <c r="G205" s="12" t="str">
        <f t="array" ref="G205">IF(ISBLANK(K205)," ",_xlfn.XLOOKUP(#REF!,#REF!,#REF!))</f>
        <v xml:space="preserve"> </v>
      </c>
      <c r="H205" s="13">
        <f t="shared" si="2"/>
        <v>0</v>
      </c>
      <c r="I205" s="8" t="str">
        <f t="array" ref="I205">IF(ISBLANK(K205)," ",_xlfn.XLOOKUP(#REF!,#REF!,#REF!))</f>
        <v xml:space="preserve"> </v>
      </c>
      <c r="J205" s="8" t="str">
        <f t="array" ref="J205">IF(ISBLANK(K205)," ",_xlfn.XLOOKUP(F205,Edades!$A$2:$A$101,IF(I205="F",Edades!$B$2:$B$101,Edades!$C$2:$C$101)))</f>
        <v xml:space="preserve"> </v>
      </c>
      <c r="K205" s="8"/>
      <c r="L205" s="8"/>
      <c r="M205" s="13"/>
      <c r="N205" s="8"/>
      <c r="O205" s="8"/>
      <c r="P205" s="8"/>
      <c r="Q205" s="8"/>
      <c r="R205" s="8"/>
      <c r="S205" s="8"/>
      <c r="T205" s="7"/>
      <c r="U205" s="7"/>
      <c r="V205" s="7"/>
      <c r="W205" s="7"/>
      <c r="X205" s="7"/>
      <c r="Y205" s="7"/>
      <c r="Z205" s="7"/>
      <c r="AA205" s="7"/>
    </row>
    <row r="206" spans="1:27">
      <c r="A206" s="7"/>
      <c r="B206" s="7"/>
      <c r="C206" s="7"/>
      <c r="D206" s="7"/>
      <c r="E206" s="7"/>
      <c r="F206" s="8" t="str">
        <f t="shared" si="3"/>
        <v xml:space="preserve"> </v>
      </c>
      <c r="G206" s="12" t="str">
        <f t="array" ref="G206">IF(ISBLANK(K206)," ",_xlfn.XLOOKUP(#REF!,#REF!,#REF!))</f>
        <v xml:space="preserve"> </v>
      </c>
      <c r="H206" s="13">
        <f t="shared" si="2"/>
        <v>0</v>
      </c>
      <c r="I206" s="8" t="str">
        <f t="array" ref="I206">IF(ISBLANK(K206)," ",_xlfn.XLOOKUP(#REF!,#REF!,#REF!))</f>
        <v xml:space="preserve"> </v>
      </c>
      <c r="J206" s="8" t="str">
        <f t="array" ref="J206">IF(ISBLANK(K206)," ",_xlfn.XLOOKUP(F206,Edades!$A$2:$A$101,IF(I206="F",Edades!$B$2:$B$101,Edades!$C$2:$C$101)))</f>
        <v xml:space="preserve"> </v>
      </c>
      <c r="K206" s="8"/>
      <c r="L206" s="8"/>
      <c r="M206" s="13"/>
      <c r="N206" s="8"/>
      <c r="O206" s="8"/>
      <c r="P206" s="8"/>
      <c r="Q206" s="8"/>
      <c r="R206" s="8"/>
      <c r="S206" s="8"/>
      <c r="T206" s="7"/>
      <c r="U206" s="7"/>
      <c r="V206" s="7"/>
      <c r="W206" s="7"/>
      <c r="X206" s="7"/>
      <c r="Y206" s="7"/>
      <c r="Z206" s="7"/>
      <c r="AA206" s="7"/>
    </row>
    <row r="207" spans="1:27">
      <c r="A207" s="7"/>
      <c r="B207" s="7"/>
      <c r="C207" s="7"/>
      <c r="D207" s="7"/>
      <c r="E207" s="7"/>
      <c r="F207" s="8" t="str">
        <f t="shared" si="3"/>
        <v xml:space="preserve"> </v>
      </c>
      <c r="G207" s="12" t="str">
        <f t="array" ref="G207">IF(ISBLANK(K207)," ",_xlfn.XLOOKUP(#REF!,#REF!,#REF!))</f>
        <v xml:space="preserve"> </v>
      </c>
      <c r="H207" s="13">
        <f t="shared" si="2"/>
        <v>0</v>
      </c>
      <c r="I207" s="8" t="str">
        <f t="array" ref="I207">IF(ISBLANK(K207)," ",_xlfn.XLOOKUP(#REF!,#REF!,#REF!))</f>
        <v xml:space="preserve"> </v>
      </c>
      <c r="J207" s="8" t="str">
        <f t="array" ref="J207">IF(ISBLANK(K207)," ",_xlfn.XLOOKUP(F207,Edades!$A$2:$A$101,IF(I207="F",Edades!$B$2:$B$101,Edades!$C$2:$C$101)))</f>
        <v xml:space="preserve"> </v>
      </c>
      <c r="K207" s="8"/>
      <c r="L207" s="8"/>
      <c r="M207" s="13"/>
      <c r="N207" s="8"/>
      <c r="O207" s="8"/>
      <c r="P207" s="8"/>
      <c r="Q207" s="8"/>
      <c r="R207" s="8"/>
      <c r="S207" s="8"/>
      <c r="T207" s="7"/>
      <c r="U207" s="7"/>
      <c r="V207" s="7"/>
      <c r="W207" s="7"/>
      <c r="X207" s="7"/>
      <c r="Y207" s="7"/>
      <c r="Z207" s="7"/>
      <c r="AA207" s="7"/>
    </row>
    <row r="208" spans="1:27">
      <c r="A208" s="7"/>
      <c r="B208" s="7"/>
      <c r="C208" s="7"/>
      <c r="D208" s="7"/>
      <c r="E208" s="7"/>
      <c r="F208" s="8" t="str">
        <f t="shared" si="3"/>
        <v xml:space="preserve"> </v>
      </c>
      <c r="G208" s="12" t="str">
        <f t="array" ref="G208">IF(ISBLANK(K208)," ",_xlfn.XLOOKUP(#REF!,#REF!,#REF!))</f>
        <v xml:space="preserve"> </v>
      </c>
      <c r="H208" s="13">
        <f t="shared" si="2"/>
        <v>0</v>
      </c>
      <c r="I208" s="8" t="str">
        <f t="array" ref="I208">IF(ISBLANK(K208)," ",_xlfn.XLOOKUP(#REF!,#REF!,#REF!))</f>
        <v xml:space="preserve"> </v>
      </c>
      <c r="J208" s="8" t="str">
        <f t="array" ref="J208">IF(ISBLANK(K208)," ",_xlfn.XLOOKUP(F208,Edades!$A$2:$A$101,IF(I208="F",Edades!$B$2:$B$101,Edades!$C$2:$C$101)))</f>
        <v xml:space="preserve"> </v>
      </c>
      <c r="K208" s="8"/>
      <c r="L208" s="8"/>
      <c r="M208" s="13"/>
      <c r="N208" s="8"/>
      <c r="O208" s="8"/>
      <c r="P208" s="8"/>
      <c r="Q208" s="8"/>
      <c r="R208" s="8"/>
      <c r="S208" s="8"/>
      <c r="T208" s="7"/>
      <c r="U208" s="7"/>
      <c r="V208" s="7"/>
      <c r="W208" s="7"/>
      <c r="X208" s="7"/>
      <c r="Y208" s="7"/>
      <c r="Z208" s="7"/>
      <c r="AA208" s="7"/>
    </row>
    <row r="209" spans="1:27">
      <c r="A209" s="7"/>
      <c r="B209" s="7"/>
      <c r="C209" s="7"/>
      <c r="D209" s="7"/>
      <c r="E209" s="7"/>
      <c r="F209" s="8" t="str">
        <f t="shared" si="3"/>
        <v xml:space="preserve"> </v>
      </c>
      <c r="G209" s="12" t="str">
        <f t="array" ref="G209">IF(ISBLANK(K209)," ",_xlfn.XLOOKUP(#REF!,#REF!,#REF!))</f>
        <v xml:space="preserve"> </v>
      </c>
      <c r="H209" s="13">
        <f t="shared" si="2"/>
        <v>0</v>
      </c>
      <c r="I209" s="8" t="str">
        <f t="array" ref="I209">IF(ISBLANK(K209)," ",_xlfn.XLOOKUP(#REF!,#REF!,#REF!))</f>
        <v xml:space="preserve"> </v>
      </c>
      <c r="J209" s="8" t="str">
        <f t="array" ref="J209">IF(ISBLANK(K209)," ",_xlfn.XLOOKUP(F209,Edades!$A$2:$A$101,IF(I209="F",Edades!$B$2:$B$101,Edades!$C$2:$C$101)))</f>
        <v xml:space="preserve"> </v>
      </c>
      <c r="K209" s="8"/>
      <c r="L209" s="8"/>
      <c r="M209" s="13"/>
      <c r="N209" s="8"/>
      <c r="O209" s="8"/>
      <c r="P209" s="8"/>
      <c r="Q209" s="8"/>
      <c r="R209" s="8"/>
      <c r="S209" s="8"/>
      <c r="T209" s="7"/>
      <c r="U209" s="7"/>
      <c r="V209" s="7"/>
      <c r="W209" s="7"/>
      <c r="X209" s="7"/>
      <c r="Y209" s="7"/>
      <c r="Z209" s="7"/>
      <c r="AA209" s="7"/>
    </row>
    <row r="210" spans="1:27">
      <c r="A210" s="7"/>
      <c r="B210" s="7"/>
      <c r="C210" s="7"/>
      <c r="D210" s="7"/>
      <c r="E210" s="7"/>
      <c r="F210" s="8" t="str">
        <f t="shared" si="3"/>
        <v xml:space="preserve"> </v>
      </c>
      <c r="G210" s="12" t="str">
        <f t="array" ref="G210">IF(ISBLANK(K210)," ",_xlfn.XLOOKUP(#REF!,#REF!,#REF!))</f>
        <v xml:space="preserve"> </v>
      </c>
      <c r="H210" s="13">
        <f t="shared" si="2"/>
        <v>0</v>
      </c>
      <c r="I210" s="8" t="str">
        <f t="array" ref="I210">IF(ISBLANK(K210)," ",_xlfn.XLOOKUP(#REF!,#REF!,#REF!))</f>
        <v xml:space="preserve"> </v>
      </c>
      <c r="J210" s="8" t="str">
        <f t="array" ref="J210">IF(ISBLANK(K210)," ",_xlfn.XLOOKUP(F210,Edades!$A$2:$A$101,IF(I210="F",Edades!$B$2:$B$101,Edades!$C$2:$C$101)))</f>
        <v xml:space="preserve"> </v>
      </c>
      <c r="K210" s="8"/>
      <c r="L210" s="8"/>
      <c r="M210" s="13"/>
      <c r="N210" s="8"/>
      <c r="O210" s="8"/>
      <c r="P210" s="8"/>
      <c r="Q210" s="8"/>
      <c r="R210" s="8"/>
      <c r="S210" s="8"/>
      <c r="T210" s="7"/>
      <c r="U210" s="7"/>
      <c r="V210" s="7"/>
      <c r="W210" s="7"/>
      <c r="X210" s="7"/>
      <c r="Y210" s="7"/>
      <c r="Z210" s="7"/>
      <c r="AA210" s="7"/>
    </row>
    <row r="211" spans="1:27">
      <c r="A211" s="7"/>
      <c r="B211" s="7"/>
      <c r="C211" s="7"/>
      <c r="D211" s="7"/>
      <c r="E211" s="7"/>
      <c r="F211" s="8" t="str">
        <f t="shared" si="3"/>
        <v xml:space="preserve"> </v>
      </c>
      <c r="G211" s="12" t="str">
        <f t="array" ref="G211">IF(ISBLANK(K211)," ",_xlfn.XLOOKUP(#REF!,#REF!,#REF!))</f>
        <v xml:space="preserve"> </v>
      </c>
      <c r="H211" s="13">
        <f t="shared" si="2"/>
        <v>0</v>
      </c>
      <c r="I211" s="8" t="str">
        <f t="array" ref="I211">IF(ISBLANK(K211)," ",_xlfn.XLOOKUP(#REF!,#REF!,#REF!))</f>
        <v xml:space="preserve"> </v>
      </c>
      <c r="J211" s="8" t="str">
        <f t="array" ref="J211">IF(ISBLANK(K211)," ",_xlfn.XLOOKUP(F211,Edades!$A$2:$A$101,IF(I211="F",Edades!$B$2:$B$101,Edades!$C$2:$C$101)))</f>
        <v xml:space="preserve"> </v>
      </c>
      <c r="K211" s="8"/>
      <c r="L211" s="8"/>
      <c r="M211" s="13"/>
      <c r="N211" s="8"/>
      <c r="O211" s="8"/>
      <c r="P211" s="8"/>
      <c r="Q211" s="8"/>
      <c r="R211" s="8"/>
      <c r="S211" s="8"/>
      <c r="T211" s="7"/>
      <c r="U211" s="7"/>
      <c r="V211" s="7"/>
      <c r="W211" s="7"/>
      <c r="X211" s="7"/>
      <c r="Y211" s="7"/>
      <c r="Z211" s="7"/>
      <c r="AA211" s="7"/>
    </row>
    <row r="212" spans="1:27">
      <c r="A212" s="7"/>
      <c r="B212" s="7"/>
      <c r="C212" s="7"/>
      <c r="D212" s="7"/>
      <c r="E212" s="7"/>
      <c r="F212" s="8" t="str">
        <f t="shared" si="3"/>
        <v xml:space="preserve"> </v>
      </c>
      <c r="G212" s="12" t="str">
        <f t="array" ref="G212">IF(ISBLANK(K212)," ",_xlfn.XLOOKUP(#REF!,#REF!,#REF!))</f>
        <v xml:space="preserve"> </v>
      </c>
      <c r="H212" s="13">
        <f t="shared" si="2"/>
        <v>0</v>
      </c>
      <c r="I212" s="8" t="str">
        <f t="array" ref="I212">IF(ISBLANK(K212)," ",_xlfn.XLOOKUP(#REF!,#REF!,#REF!))</f>
        <v xml:space="preserve"> </v>
      </c>
      <c r="J212" s="8" t="str">
        <f t="array" ref="J212">IF(ISBLANK(K212)," ",_xlfn.XLOOKUP(F212,Edades!$A$2:$A$101,IF(I212="F",Edades!$B$2:$B$101,Edades!$C$2:$C$101)))</f>
        <v xml:space="preserve"> </v>
      </c>
      <c r="K212" s="8"/>
      <c r="L212" s="8"/>
      <c r="M212" s="13"/>
      <c r="N212" s="8"/>
      <c r="O212" s="8"/>
      <c r="P212" s="8"/>
      <c r="Q212" s="8"/>
      <c r="R212" s="8"/>
      <c r="S212" s="8"/>
      <c r="T212" s="7"/>
      <c r="U212" s="7"/>
      <c r="V212" s="7"/>
      <c r="W212" s="7"/>
      <c r="X212" s="7"/>
      <c r="Y212" s="7"/>
      <c r="Z212" s="7"/>
      <c r="AA212" s="7"/>
    </row>
    <row r="213" spans="1:27">
      <c r="A213" s="7"/>
      <c r="B213" s="7"/>
      <c r="C213" s="7"/>
      <c r="D213" s="7"/>
      <c r="E213" s="7"/>
      <c r="F213" s="8" t="str">
        <f t="shared" si="3"/>
        <v xml:space="preserve"> </v>
      </c>
      <c r="G213" s="12" t="str">
        <f t="array" ref="G213">IF(ISBLANK(K213)," ",_xlfn.XLOOKUP(#REF!,#REF!,#REF!))</f>
        <v xml:space="preserve"> </v>
      </c>
      <c r="H213" s="13">
        <f t="shared" si="2"/>
        <v>0</v>
      </c>
      <c r="I213" s="8" t="str">
        <f t="array" ref="I213">IF(ISBLANK(K213)," ",_xlfn.XLOOKUP(#REF!,#REF!,#REF!))</f>
        <v xml:space="preserve"> </v>
      </c>
      <c r="J213" s="8" t="str">
        <f t="array" ref="J213">IF(ISBLANK(K213)," ",_xlfn.XLOOKUP(F213,Edades!$A$2:$A$101,IF(I213="F",Edades!$B$2:$B$101,Edades!$C$2:$C$101)))</f>
        <v xml:space="preserve"> </v>
      </c>
      <c r="K213" s="8"/>
      <c r="L213" s="8"/>
      <c r="M213" s="13"/>
      <c r="N213" s="8"/>
      <c r="O213" s="8"/>
      <c r="P213" s="8"/>
      <c r="Q213" s="8"/>
      <c r="R213" s="8"/>
      <c r="S213" s="8"/>
      <c r="T213" s="7"/>
      <c r="U213" s="7"/>
      <c r="V213" s="7"/>
      <c r="W213" s="7"/>
      <c r="X213" s="7"/>
      <c r="Y213" s="7"/>
      <c r="Z213" s="7"/>
      <c r="AA213" s="7"/>
    </row>
    <row r="214" spans="1:27">
      <c r="A214" s="7"/>
      <c r="B214" s="7"/>
      <c r="C214" s="7"/>
      <c r="D214" s="7"/>
      <c r="E214" s="7"/>
      <c r="F214" s="8" t="str">
        <f t="shared" si="3"/>
        <v xml:space="preserve"> </v>
      </c>
      <c r="G214" s="12" t="str">
        <f t="array" ref="G214">IF(ISBLANK(K214)," ",_xlfn.XLOOKUP(#REF!,#REF!,#REF!))</f>
        <v xml:space="preserve"> </v>
      </c>
      <c r="H214" s="13">
        <f t="shared" si="2"/>
        <v>0</v>
      </c>
      <c r="I214" s="8" t="str">
        <f t="array" ref="I214">IF(ISBLANK(K214)," ",_xlfn.XLOOKUP(#REF!,#REF!,#REF!))</f>
        <v xml:space="preserve"> </v>
      </c>
      <c r="J214" s="8" t="str">
        <f t="array" ref="J214">IF(ISBLANK(K214)," ",_xlfn.XLOOKUP(F214,Edades!$A$2:$A$101,IF(I214="F",Edades!$B$2:$B$101,Edades!$C$2:$C$101)))</f>
        <v xml:space="preserve"> </v>
      </c>
      <c r="K214" s="8"/>
      <c r="L214" s="8"/>
      <c r="M214" s="13"/>
      <c r="N214" s="8"/>
      <c r="O214" s="8"/>
      <c r="P214" s="8"/>
      <c r="Q214" s="8"/>
      <c r="R214" s="8"/>
      <c r="S214" s="8"/>
      <c r="T214" s="7"/>
      <c r="U214" s="7"/>
      <c r="V214" s="7"/>
      <c r="W214" s="7"/>
      <c r="X214" s="7"/>
      <c r="Y214" s="7"/>
      <c r="Z214" s="7"/>
      <c r="AA214" s="7"/>
    </row>
    <row r="215" spans="1:27">
      <c r="A215" s="7"/>
      <c r="B215" s="7"/>
      <c r="C215" s="7"/>
      <c r="D215" s="7"/>
      <c r="E215" s="7"/>
      <c r="F215" s="8" t="str">
        <f t="shared" si="3"/>
        <v xml:space="preserve"> </v>
      </c>
      <c r="G215" s="12" t="str">
        <f t="array" ref="G215">IF(ISBLANK(K215)," ",_xlfn.XLOOKUP(#REF!,#REF!,#REF!))</f>
        <v xml:space="preserve"> </v>
      </c>
      <c r="H215" s="13">
        <f t="shared" si="2"/>
        <v>0</v>
      </c>
      <c r="I215" s="8" t="str">
        <f t="array" ref="I215">IF(ISBLANK(K215)," ",_xlfn.XLOOKUP(#REF!,#REF!,#REF!))</f>
        <v xml:space="preserve"> </v>
      </c>
      <c r="J215" s="8" t="str">
        <f t="array" ref="J215">IF(ISBLANK(K215)," ",_xlfn.XLOOKUP(F215,Edades!$A$2:$A$101,IF(I215="F",Edades!$B$2:$B$101,Edades!$C$2:$C$101)))</f>
        <v xml:space="preserve"> </v>
      </c>
      <c r="K215" s="8"/>
      <c r="L215" s="8"/>
      <c r="M215" s="13"/>
      <c r="N215" s="8"/>
      <c r="O215" s="8"/>
      <c r="P215" s="8"/>
      <c r="Q215" s="8"/>
      <c r="R215" s="8"/>
      <c r="S215" s="8"/>
      <c r="T215" s="7"/>
      <c r="U215" s="7"/>
      <c r="V215" s="7"/>
      <c r="W215" s="7"/>
      <c r="X215" s="7"/>
      <c r="Y215" s="7"/>
      <c r="Z215" s="7"/>
      <c r="AA215" s="7"/>
    </row>
    <row r="216" spans="1:27">
      <c r="A216" s="7"/>
      <c r="B216" s="7"/>
      <c r="C216" s="7"/>
      <c r="D216" s="7"/>
      <c r="E216" s="7"/>
      <c r="F216" s="8" t="str">
        <f t="shared" si="3"/>
        <v xml:space="preserve"> </v>
      </c>
      <c r="G216" s="12" t="str">
        <f t="array" ref="G216">IF(ISBLANK(K216)," ",_xlfn.XLOOKUP(#REF!,#REF!,#REF!))</f>
        <v xml:space="preserve"> </v>
      </c>
      <c r="H216" s="13">
        <f t="shared" si="2"/>
        <v>0</v>
      </c>
      <c r="I216" s="8" t="str">
        <f t="array" ref="I216">IF(ISBLANK(K216)," ",_xlfn.XLOOKUP(#REF!,#REF!,#REF!))</f>
        <v xml:space="preserve"> </v>
      </c>
      <c r="J216" s="8" t="str">
        <f t="array" ref="J216">IF(ISBLANK(K216)," ",_xlfn.XLOOKUP(F216,Edades!$A$2:$A$101,IF(I216="F",Edades!$B$2:$B$101,Edades!$C$2:$C$101)))</f>
        <v xml:space="preserve"> </v>
      </c>
      <c r="K216" s="8"/>
      <c r="L216" s="8"/>
      <c r="M216" s="13"/>
      <c r="N216" s="8"/>
      <c r="O216" s="8"/>
      <c r="P216" s="8"/>
      <c r="Q216" s="8"/>
      <c r="R216" s="8"/>
      <c r="S216" s="8"/>
      <c r="T216" s="7"/>
      <c r="U216" s="7"/>
      <c r="V216" s="7"/>
      <c r="W216" s="7"/>
      <c r="X216" s="7"/>
      <c r="Y216" s="7"/>
      <c r="Z216" s="7"/>
      <c r="AA216" s="7"/>
    </row>
    <row r="217" spans="1:27">
      <c r="A217" s="7"/>
      <c r="B217" s="7"/>
      <c r="C217" s="7"/>
      <c r="D217" s="7"/>
      <c r="E217" s="7"/>
      <c r="F217" s="8" t="str">
        <f t="shared" si="3"/>
        <v xml:space="preserve"> </v>
      </c>
      <c r="G217" s="12" t="str">
        <f t="array" ref="G217">IF(ISBLANK(K217)," ",_xlfn.XLOOKUP(#REF!,#REF!,#REF!))</f>
        <v xml:space="preserve"> </v>
      </c>
      <c r="H217" s="13">
        <f t="shared" si="2"/>
        <v>0</v>
      </c>
      <c r="I217" s="8" t="str">
        <f t="array" ref="I217">IF(ISBLANK(K217)," ",_xlfn.XLOOKUP(#REF!,#REF!,#REF!))</f>
        <v xml:space="preserve"> </v>
      </c>
      <c r="J217" s="8" t="str">
        <f t="array" ref="J217">IF(ISBLANK(K217)," ",_xlfn.XLOOKUP(F217,Edades!$A$2:$A$101,IF(I217="F",Edades!$B$2:$B$101,Edades!$C$2:$C$101)))</f>
        <v xml:space="preserve"> </v>
      </c>
      <c r="K217" s="8"/>
      <c r="L217" s="8"/>
      <c r="M217" s="13"/>
      <c r="N217" s="8"/>
      <c r="O217" s="8"/>
      <c r="P217" s="8"/>
      <c r="Q217" s="8"/>
      <c r="R217" s="8"/>
      <c r="S217" s="8"/>
      <c r="T217" s="7"/>
      <c r="U217" s="7"/>
      <c r="V217" s="7"/>
      <c r="W217" s="7"/>
      <c r="X217" s="7"/>
      <c r="Y217" s="7"/>
      <c r="Z217" s="7"/>
      <c r="AA217" s="7"/>
    </row>
    <row r="218" spans="1:27">
      <c r="A218" s="7"/>
      <c r="B218" s="7"/>
      <c r="C218" s="7"/>
      <c r="D218" s="7"/>
      <c r="E218" s="7"/>
      <c r="F218" s="8" t="str">
        <f t="shared" si="3"/>
        <v xml:space="preserve"> </v>
      </c>
      <c r="G218" s="12" t="str">
        <f t="array" ref="G218">IF(ISBLANK(K218)," ",_xlfn.XLOOKUP(#REF!,#REF!,#REF!))</f>
        <v xml:space="preserve"> </v>
      </c>
      <c r="H218" s="13">
        <f t="shared" si="2"/>
        <v>0</v>
      </c>
      <c r="I218" s="8" t="str">
        <f t="array" ref="I218">IF(ISBLANK(K218)," ",_xlfn.XLOOKUP(#REF!,#REF!,#REF!))</f>
        <v xml:space="preserve"> </v>
      </c>
      <c r="J218" s="8" t="str">
        <f t="array" ref="J218">IF(ISBLANK(K218)," ",_xlfn.XLOOKUP(F218,Edades!$A$2:$A$101,IF(I218="F",Edades!$B$2:$B$101,Edades!$C$2:$C$101)))</f>
        <v xml:space="preserve"> </v>
      </c>
      <c r="K218" s="8"/>
      <c r="L218" s="8"/>
      <c r="M218" s="13"/>
      <c r="N218" s="8"/>
      <c r="O218" s="8"/>
      <c r="P218" s="8"/>
      <c r="Q218" s="8"/>
      <c r="R218" s="8"/>
      <c r="S218" s="8"/>
      <c r="T218" s="7"/>
      <c r="U218" s="7"/>
      <c r="V218" s="7"/>
      <c r="W218" s="7"/>
      <c r="X218" s="7"/>
      <c r="Y218" s="7"/>
      <c r="Z218" s="7"/>
      <c r="AA218" s="7"/>
    </row>
    <row r="219" spans="1:27">
      <c r="A219" s="7"/>
      <c r="B219" s="7"/>
      <c r="C219" s="7"/>
      <c r="D219" s="7"/>
      <c r="E219" s="7"/>
      <c r="F219" s="8" t="str">
        <f t="shared" si="3"/>
        <v xml:space="preserve"> </v>
      </c>
      <c r="G219" s="12" t="str">
        <f t="array" ref="G219">IF(ISBLANK(K219)," ",_xlfn.XLOOKUP(#REF!,#REF!,#REF!))</f>
        <v xml:space="preserve"> </v>
      </c>
      <c r="H219" s="13">
        <f t="shared" si="2"/>
        <v>0</v>
      </c>
      <c r="I219" s="8" t="str">
        <f t="array" ref="I219">IF(ISBLANK(K219)," ",_xlfn.XLOOKUP(#REF!,#REF!,#REF!))</f>
        <v xml:space="preserve"> </v>
      </c>
      <c r="J219" s="8" t="str">
        <f t="array" ref="J219">IF(ISBLANK(K219)," ",_xlfn.XLOOKUP(F219,Edades!$A$2:$A$101,IF(I219="F",Edades!$B$2:$B$101,Edades!$C$2:$C$101)))</f>
        <v xml:space="preserve"> </v>
      </c>
      <c r="K219" s="8"/>
      <c r="L219" s="8"/>
      <c r="M219" s="13"/>
      <c r="N219" s="8"/>
      <c r="O219" s="8"/>
      <c r="P219" s="8"/>
      <c r="Q219" s="8"/>
      <c r="R219" s="8"/>
      <c r="S219" s="8"/>
      <c r="T219" s="7"/>
      <c r="U219" s="7"/>
      <c r="V219" s="7"/>
      <c r="W219" s="7"/>
      <c r="X219" s="7"/>
      <c r="Y219" s="7"/>
      <c r="Z219" s="7"/>
      <c r="AA219" s="7"/>
    </row>
    <row r="220" spans="1:27">
      <c r="A220" s="7"/>
      <c r="B220" s="7"/>
      <c r="C220" s="7"/>
      <c r="D220" s="7"/>
      <c r="E220" s="7"/>
      <c r="F220" s="8" t="str">
        <f t="shared" si="3"/>
        <v xml:space="preserve"> </v>
      </c>
      <c r="G220" s="12" t="str">
        <f t="array" ref="G220">IF(ISBLANK(K220)," ",_xlfn.XLOOKUP(#REF!,#REF!,#REF!))</f>
        <v xml:space="preserve"> </v>
      </c>
      <c r="H220" s="13">
        <f t="shared" si="2"/>
        <v>0</v>
      </c>
      <c r="I220" s="8" t="str">
        <f t="array" ref="I220">IF(ISBLANK(K220)," ",_xlfn.XLOOKUP(#REF!,#REF!,#REF!))</f>
        <v xml:space="preserve"> </v>
      </c>
      <c r="J220" s="8" t="str">
        <f t="array" ref="J220">IF(ISBLANK(K220)," ",_xlfn.XLOOKUP(F220,Edades!$A$2:$A$101,IF(I220="F",Edades!$B$2:$B$101,Edades!$C$2:$C$101)))</f>
        <v xml:space="preserve"> </v>
      </c>
      <c r="K220" s="8"/>
      <c r="L220" s="8"/>
      <c r="M220" s="13"/>
      <c r="N220" s="8"/>
      <c r="O220" s="8"/>
      <c r="P220" s="8"/>
      <c r="Q220" s="8"/>
      <c r="R220" s="8"/>
      <c r="S220" s="8"/>
      <c r="T220" s="7"/>
      <c r="U220" s="7"/>
      <c r="V220" s="7"/>
      <c r="W220" s="7"/>
      <c r="X220" s="7"/>
      <c r="Y220" s="7"/>
      <c r="Z220" s="7"/>
      <c r="AA220" s="7"/>
    </row>
    <row r="221" spans="1:27">
      <c r="A221" s="7"/>
      <c r="B221" s="7"/>
      <c r="C221" s="7"/>
      <c r="D221" s="7"/>
      <c r="E221" s="7"/>
      <c r="F221" s="8" t="str">
        <f t="shared" si="3"/>
        <v xml:space="preserve"> </v>
      </c>
      <c r="G221" s="12" t="str">
        <f t="array" ref="G221">IF(ISBLANK(K221)," ",_xlfn.XLOOKUP(#REF!,#REF!,#REF!))</f>
        <v xml:space="preserve"> </v>
      </c>
      <c r="H221" s="13">
        <f t="shared" ref="H221:H225" si="4">M221</f>
        <v>0</v>
      </c>
      <c r="I221" s="8" t="str">
        <f t="array" ref="I221">IF(ISBLANK(K221)," ",_xlfn.XLOOKUP(#REF!,#REF!,#REF!))</f>
        <v xml:space="preserve"> </v>
      </c>
      <c r="J221" s="8" t="str">
        <f t="array" ref="J221">IF(ISBLANK(K221)," ",_xlfn.XLOOKUP(F221,Edades!$A$2:$A$101,IF(I221="F",Edades!$B$2:$B$101,Edades!$C$2:$C$101)))</f>
        <v xml:space="preserve"> </v>
      </c>
      <c r="K221" s="8"/>
      <c r="L221" s="8"/>
      <c r="M221" s="13"/>
      <c r="N221" s="8"/>
      <c r="O221" s="8"/>
      <c r="P221" s="8"/>
      <c r="Q221" s="8"/>
      <c r="R221" s="8"/>
      <c r="S221" s="8"/>
      <c r="T221" s="7"/>
      <c r="U221" s="7"/>
      <c r="V221" s="7"/>
      <c r="W221" s="7"/>
      <c r="X221" s="7"/>
      <c r="Y221" s="7"/>
      <c r="Z221" s="7"/>
      <c r="AA221" s="7"/>
    </row>
    <row r="222" spans="1:27">
      <c r="A222" s="7"/>
      <c r="B222" s="7"/>
      <c r="C222" s="7"/>
      <c r="D222" s="7"/>
      <c r="E222" s="7"/>
      <c r="F222" s="8" t="str">
        <f t="shared" si="3"/>
        <v xml:space="preserve"> </v>
      </c>
      <c r="G222" s="12" t="str">
        <f t="array" ref="G222">IF(ISBLANK(K222)," ",_xlfn.XLOOKUP(#REF!,#REF!,#REF!))</f>
        <v xml:space="preserve"> </v>
      </c>
      <c r="H222" s="13">
        <f t="shared" si="4"/>
        <v>0</v>
      </c>
      <c r="I222" s="8" t="str">
        <f t="array" ref="I222">IF(ISBLANK(K222)," ",_xlfn.XLOOKUP(#REF!,#REF!,#REF!))</f>
        <v xml:space="preserve"> </v>
      </c>
      <c r="J222" s="8" t="str">
        <f t="array" ref="J222">IF(ISBLANK(K222)," ",_xlfn.XLOOKUP(F222,Edades!$A$2:$A$101,IF(I222="F",Edades!$B$2:$B$101,Edades!$C$2:$C$101)))</f>
        <v xml:space="preserve"> </v>
      </c>
      <c r="K222" s="8"/>
      <c r="L222" s="8"/>
      <c r="M222" s="13"/>
      <c r="N222" s="8"/>
      <c r="O222" s="8"/>
      <c r="P222" s="8"/>
      <c r="Q222" s="8"/>
      <c r="R222" s="8"/>
      <c r="S222" s="8"/>
      <c r="T222" s="7"/>
      <c r="U222" s="7"/>
      <c r="V222" s="7"/>
      <c r="W222" s="7"/>
      <c r="X222" s="7"/>
      <c r="Y222" s="7"/>
      <c r="Z222" s="7"/>
      <c r="AA222" s="7"/>
    </row>
    <row r="223" spans="1:27">
      <c r="A223" s="7"/>
      <c r="B223" s="7"/>
      <c r="C223" s="7"/>
      <c r="D223" s="7"/>
      <c r="E223" s="7"/>
      <c r="F223" s="8" t="str">
        <f t="shared" si="3"/>
        <v xml:space="preserve"> </v>
      </c>
      <c r="G223" s="12" t="str">
        <f t="array" ref="G223">IF(ISBLANK(K223)," ",_xlfn.XLOOKUP(#REF!,#REF!,#REF!))</f>
        <v xml:space="preserve"> </v>
      </c>
      <c r="H223" s="13">
        <f t="shared" si="4"/>
        <v>0</v>
      </c>
      <c r="I223" s="8" t="str">
        <f t="array" ref="I223">IF(ISBLANK(K223)," ",_xlfn.XLOOKUP(#REF!,#REF!,#REF!))</f>
        <v xml:space="preserve"> </v>
      </c>
      <c r="J223" s="8" t="str">
        <f t="array" ref="J223">IF(ISBLANK(K223)," ",_xlfn.XLOOKUP(F223,Edades!$A$2:$A$101,IF(I223="F",Edades!$B$2:$B$101,Edades!$C$2:$C$101)))</f>
        <v xml:space="preserve"> </v>
      </c>
      <c r="K223" s="8"/>
      <c r="L223" s="8"/>
      <c r="M223" s="13"/>
      <c r="N223" s="8"/>
      <c r="O223" s="8"/>
      <c r="P223" s="8"/>
      <c r="Q223" s="8"/>
      <c r="R223" s="8"/>
      <c r="S223" s="8"/>
      <c r="T223" s="7"/>
      <c r="U223" s="7"/>
      <c r="V223" s="7"/>
      <c r="W223" s="7"/>
      <c r="X223" s="7"/>
      <c r="Y223" s="7"/>
      <c r="Z223" s="7"/>
      <c r="AA223" s="7"/>
    </row>
    <row r="224" spans="1:27">
      <c r="A224" s="7"/>
      <c r="B224" s="7"/>
      <c r="C224" s="7"/>
      <c r="D224" s="7"/>
      <c r="E224" s="7"/>
      <c r="F224" s="8" t="str">
        <f t="shared" si="3"/>
        <v xml:space="preserve"> </v>
      </c>
      <c r="G224" s="12" t="str">
        <f t="array" ref="G224">IF(ISBLANK(K224)," ",_xlfn.XLOOKUP(#REF!,#REF!,#REF!))</f>
        <v xml:space="preserve"> </v>
      </c>
      <c r="H224" s="13">
        <f t="shared" si="4"/>
        <v>0</v>
      </c>
      <c r="I224" s="8" t="str">
        <f t="array" ref="I224">IF(ISBLANK(K224)," ",_xlfn.XLOOKUP(#REF!,#REF!,#REF!))</f>
        <v xml:space="preserve"> </v>
      </c>
      <c r="J224" s="8" t="str">
        <f t="array" ref="J224">IF(ISBLANK(K224)," ",_xlfn.XLOOKUP(F224,Edades!$A$2:$A$101,IF(I224="F",Edades!$B$2:$B$101,Edades!$C$2:$C$101)))</f>
        <v xml:space="preserve"> </v>
      </c>
      <c r="K224" s="8"/>
      <c r="L224" s="8"/>
      <c r="M224" s="13"/>
      <c r="N224" s="8"/>
      <c r="O224" s="8"/>
      <c r="P224" s="8"/>
      <c r="Q224" s="8"/>
      <c r="R224" s="8"/>
      <c r="S224" s="8"/>
      <c r="T224" s="7"/>
      <c r="U224" s="7"/>
      <c r="V224" s="7"/>
      <c r="W224" s="7"/>
      <c r="X224" s="7"/>
      <c r="Y224" s="7"/>
      <c r="Z224" s="7"/>
      <c r="AA224" s="7"/>
    </row>
    <row r="225" spans="1:27">
      <c r="A225" s="7"/>
      <c r="B225" s="7"/>
      <c r="C225" s="7"/>
      <c r="D225" s="7"/>
      <c r="E225" s="7"/>
      <c r="F225" s="8" t="str">
        <f t="shared" si="3"/>
        <v xml:space="preserve"> </v>
      </c>
      <c r="G225" s="12" t="str">
        <f t="array" ref="G225">IF(ISBLANK(K225)," ",_xlfn.XLOOKUP(#REF!,#REF!,#REF!))</f>
        <v xml:space="preserve"> </v>
      </c>
      <c r="H225" s="13">
        <f t="shared" si="4"/>
        <v>0</v>
      </c>
      <c r="I225" s="8" t="str">
        <f t="array" ref="I225">IF(ISBLANK(K225)," ",_xlfn.XLOOKUP(#REF!,#REF!,#REF!))</f>
        <v xml:space="preserve"> </v>
      </c>
      <c r="J225" s="8" t="str">
        <f t="array" ref="J225">IF(ISBLANK(K225)," ",_xlfn.XLOOKUP(F225,Edades!$A$2:$A$101,IF(I225="F",Edades!$B$2:$B$101,Edades!$C$2:$C$101)))</f>
        <v xml:space="preserve"> </v>
      </c>
      <c r="K225" s="8"/>
      <c r="L225" s="8"/>
      <c r="M225" s="13"/>
      <c r="N225" s="8"/>
      <c r="O225" s="8"/>
      <c r="P225" s="8"/>
      <c r="Q225" s="8"/>
      <c r="R225" s="8"/>
      <c r="S225" s="8"/>
      <c r="T225" s="7"/>
      <c r="U225" s="7"/>
      <c r="V225" s="7"/>
      <c r="W225" s="7"/>
      <c r="X225" s="7"/>
      <c r="Y225" s="7"/>
      <c r="Z225" s="7"/>
      <c r="AA225" s="7"/>
    </row>
    <row r="226" spans="1:27">
      <c r="A226" s="7"/>
      <c r="B226" s="7"/>
      <c r="C226" s="7"/>
      <c r="D226" s="7"/>
      <c r="E226" s="7"/>
      <c r="F226" s="7"/>
      <c r="G226" s="8"/>
      <c r="H226" s="8"/>
      <c r="I226" s="7"/>
      <c r="J226" s="8" t="str">
        <f t="array" ref="J226">IF(ISBLANK(K226)," ",_xlfn.XLOOKUP(F226,Edades!$A$2:$A$101,IF(I226="F",Edades!$B$2:$B$101,Edades!$C$2:$C$101)))</f>
        <v xml:space="preserve"> </v>
      </c>
      <c r="K226" s="8"/>
      <c r="L226" s="8"/>
      <c r="M226" s="13"/>
      <c r="N226" s="8"/>
      <c r="O226" s="8"/>
      <c r="P226" s="8"/>
      <c r="Q226" s="8"/>
      <c r="R226" s="8"/>
      <c r="S226" s="8"/>
      <c r="T226" s="7"/>
      <c r="U226" s="7"/>
      <c r="V226" s="7"/>
      <c r="W226" s="7"/>
      <c r="X226" s="7"/>
      <c r="Y226" s="7"/>
      <c r="Z226" s="7"/>
      <c r="AA226" s="7"/>
    </row>
    <row r="227" spans="1:27">
      <c r="A227" s="7"/>
      <c r="B227" s="7"/>
      <c r="C227" s="7"/>
      <c r="D227" s="7"/>
      <c r="E227" s="7"/>
      <c r="F227" s="7"/>
      <c r="G227" s="8"/>
      <c r="H227" s="8"/>
      <c r="I227" s="7"/>
      <c r="J227" s="8" t="str">
        <f t="array" ref="J227">IF(ISBLANK(K227)," ",_xlfn.XLOOKUP(F227,Edades!$A$2:$A$101,IF(I227="F",Edades!$B$2:$B$101,Edades!$C$2:$C$101)))</f>
        <v xml:space="preserve"> </v>
      </c>
      <c r="K227" s="8"/>
      <c r="L227" s="8"/>
      <c r="M227" s="13"/>
      <c r="N227" s="8"/>
      <c r="O227" s="8"/>
      <c r="P227" s="8"/>
      <c r="Q227" s="8"/>
      <c r="R227" s="8"/>
      <c r="S227" s="8"/>
      <c r="T227" s="7"/>
      <c r="U227" s="7"/>
      <c r="V227" s="7"/>
      <c r="W227" s="7"/>
      <c r="X227" s="7"/>
      <c r="Y227" s="7"/>
      <c r="Z227" s="7"/>
      <c r="AA227" s="7"/>
    </row>
    <row r="228" spans="1:27">
      <c r="A228" s="7"/>
      <c r="B228" s="7"/>
      <c r="C228" s="7"/>
      <c r="D228" s="7"/>
      <c r="E228" s="7"/>
      <c r="F228" s="7"/>
      <c r="G228" s="8"/>
      <c r="H228" s="8"/>
      <c r="I228" s="7"/>
      <c r="J228" s="8" t="str">
        <f t="array" ref="J228">IF(ISBLANK(K228)," ",_xlfn.XLOOKUP(F228,Edades!$A$2:$A$101,IF(I228="F",Edades!$B$2:$B$101,Edades!$C$2:$C$101)))</f>
        <v xml:space="preserve"> </v>
      </c>
      <c r="K228" s="8"/>
      <c r="L228" s="8"/>
      <c r="M228" s="13"/>
      <c r="N228" s="8"/>
      <c r="O228" s="8"/>
      <c r="P228" s="8"/>
      <c r="Q228" s="8"/>
      <c r="R228" s="8"/>
      <c r="S228" s="8"/>
      <c r="T228" s="7"/>
      <c r="U228" s="7"/>
      <c r="V228" s="7"/>
      <c r="W228" s="7"/>
      <c r="X228" s="7"/>
      <c r="Y228" s="7"/>
      <c r="Z228" s="7"/>
      <c r="AA228" s="7"/>
    </row>
    <row r="229" spans="1:27">
      <c r="A229" s="7"/>
      <c r="B229" s="7"/>
      <c r="C229" s="7"/>
      <c r="D229" s="7"/>
      <c r="E229" s="7"/>
      <c r="F229" s="7"/>
      <c r="G229" s="8"/>
      <c r="H229" s="8"/>
      <c r="I229" s="7"/>
      <c r="J229" s="8" t="str">
        <f t="array" ref="J229">IF(ISBLANK(K229)," ",_xlfn.XLOOKUP(F229,Edades!$A$2:$A$101,IF(I229="F",Edades!$B$2:$B$101,Edades!$C$2:$C$101)))</f>
        <v xml:space="preserve"> </v>
      </c>
      <c r="K229" s="8"/>
      <c r="L229" s="8"/>
      <c r="M229" s="13"/>
      <c r="N229" s="8"/>
      <c r="O229" s="8"/>
      <c r="P229" s="8"/>
      <c r="Q229" s="8"/>
      <c r="R229" s="8"/>
      <c r="S229" s="8"/>
      <c r="T229" s="7"/>
      <c r="U229" s="7"/>
      <c r="V229" s="7"/>
      <c r="W229" s="7"/>
      <c r="X229" s="7"/>
      <c r="Y229" s="7"/>
      <c r="Z229" s="7"/>
      <c r="AA229" s="7"/>
    </row>
    <row r="230" spans="1:27">
      <c r="A230" s="7"/>
      <c r="B230" s="7"/>
      <c r="C230" s="7"/>
      <c r="D230" s="7"/>
      <c r="E230" s="7"/>
      <c r="F230" s="7"/>
      <c r="G230" s="8"/>
      <c r="H230" s="8"/>
      <c r="I230" s="7"/>
      <c r="J230" s="8" t="str">
        <f t="array" ref="J230">IF(ISBLANK(K230)," ",_xlfn.XLOOKUP(F230,Edades!$A$2:$A$101,IF(I230="F",Edades!$B$2:$B$101,Edades!$C$2:$C$101)))</f>
        <v xml:space="preserve"> </v>
      </c>
      <c r="K230" s="8"/>
      <c r="L230" s="8"/>
      <c r="M230" s="13"/>
      <c r="N230" s="8"/>
      <c r="O230" s="8"/>
      <c r="P230" s="8"/>
      <c r="Q230" s="8"/>
      <c r="R230" s="8"/>
      <c r="S230" s="8"/>
      <c r="T230" s="7"/>
      <c r="U230" s="7"/>
      <c r="V230" s="7"/>
      <c r="W230" s="7"/>
      <c r="X230" s="7"/>
      <c r="Y230" s="7"/>
      <c r="Z230" s="7"/>
      <c r="AA230" s="7"/>
    </row>
    <row r="231" spans="1:27">
      <c r="A231" s="7"/>
      <c r="B231" s="7"/>
      <c r="C231" s="7"/>
      <c r="D231" s="7"/>
      <c r="E231" s="7"/>
      <c r="F231" s="7"/>
      <c r="G231" s="8"/>
      <c r="H231" s="8"/>
      <c r="I231" s="7"/>
      <c r="J231" s="8" t="str">
        <f t="array" ref="J231">IF(ISBLANK(K231)," ",_xlfn.XLOOKUP(F231,Edades!$A$2:$A$101,IF(I231="F",Edades!$B$2:$B$101,Edades!$C$2:$C$101)))</f>
        <v xml:space="preserve"> </v>
      </c>
      <c r="K231" s="8"/>
      <c r="L231" s="8"/>
      <c r="M231" s="13"/>
      <c r="N231" s="8"/>
      <c r="O231" s="8"/>
      <c r="P231" s="8"/>
      <c r="Q231" s="8"/>
      <c r="R231" s="8"/>
      <c r="S231" s="8"/>
      <c r="T231" s="7"/>
      <c r="U231" s="7"/>
      <c r="V231" s="7"/>
      <c r="W231" s="7"/>
      <c r="X231" s="7"/>
      <c r="Y231" s="7"/>
      <c r="Z231" s="7"/>
      <c r="AA231" s="7"/>
    </row>
    <row r="232" spans="1:27">
      <c r="A232" s="7"/>
      <c r="B232" s="7"/>
      <c r="C232" s="7"/>
      <c r="D232" s="7"/>
      <c r="E232" s="7"/>
      <c r="F232" s="7"/>
      <c r="G232" s="8"/>
      <c r="H232" s="8"/>
      <c r="I232" s="7"/>
      <c r="J232" s="8" t="str">
        <f t="array" ref="J232">IF(ISBLANK(K232)," ",_xlfn.XLOOKUP(F232,Edades!$A$2:$A$101,IF(I232="F",Edades!$B$2:$B$101,Edades!$C$2:$C$101)))</f>
        <v xml:space="preserve"> </v>
      </c>
      <c r="K232" s="8"/>
      <c r="L232" s="8"/>
      <c r="M232" s="13"/>
      <c r="N232" s="8"/>
      <c r="O232" s="8"/>
      <c r="P232" s="8"/>
      <c r="Q232" s="8"/>
      <c r="R232" s="8"/>
      <c r="S232" s="8"/>
      <c r="T232" s="7"/>
      <c r="U232" s="7"/>
      <c r="V232" s="7"/>
      <c r="W232" s="7"/>
      <c r="X232" s="7"/>
      <c r="Y232" s="7"/>
      <c r="Z232" s="7"/>
      <c r="AA232" s="7"/>
    </row>
    <row r="233" spans="1:27">
      <c r="A233" s="7"/>
      <c r="B233" s="7"/>
      <c r="C233" s="7"/>
      <c r="D233" s="7"/>
      <c r="E233" s="7"/>
      <c r="F233" s="7"/>
      <c r="G233" s="8"/>
      <c r="H233" s="8"/>
      <c r="I233" s="7"/>
      <c r="J233" s="8" t="str">
        <f t="array" ref="J233">IF(ISBLANK(K233)," ",_xlfn.XLOOKUP(F233,Edades!$A$2:$A$101,IF(I233="F",Edades!$B$2:$B$101,Edades!$C$2:$C$101)))</f>
        <v xml:space="preserve"> </v>
      </c>
      <c r="K233" s="8"/>
      <c r="L233" s="8"/>
      <c r="M233" s="13"/>
      <c r="N233" s="8"/>
      <c r="O233" s="8"/>
      <c r="P233" s="8"/>
      <c r="Q233" s="8"/>
      <c r="R233" s="8"/>
      <c r="S233" s="8"/>
      <c r="T233" s="7"/>
      <c r="U233" s="7"/>
      <c r="V233" s="7"/>
      <c r="W233" s="7"/>
      <c r="X233" s="7"/>
      <c r="Y233" s="7"/>
      <c r="Z233" s="7"/>
      <c r="AA233" s="7"/>
    </row>
    <row r="234" spans="1:27">
      <c r="A234" s="7"/>
      <c r="B234" s="7"/>
      <c r="C234" s="7"/>
      <c r="D234" s="7"/>
      <c r="E234" s="7"/>
      <c r="F234" s="7"/>
      <c r="G234" s="8"/>
      <c r="H234" s="8"/>
      <c r="I234" s="7"/>
      <c r="J234" s="8" t="str">
        <f t="array" ref="J234">IF(ISBLANK(K234)," ",_xlfn.XLOOKUP(F234,Edades!$A$2:$A$101,IF(I234="F",Edades!$B$2:$B$101,Edades!$C$2:$C$101)))</f>
        <v xml:space="preserve"> </v>
      </c>
      <c r="K234" s="8"/>
      <c r="L234" s="8"/>
      <c r="M234" s="13"/>
      <c r="N234" s="8"/>
      <c r="O234" s="8"/>
      <c r="P234" s="8"/>
      <c r="Q234" s="8"/>
      <c r="R234" s="8"/>
      <c r="S234" s="8"/>
      <c r="T234" s="7"/>
      <c r="U234" s="7"/>
      <c r="V234" s="7"/>
      <c r="W234" s="7"/>
      <c r="X234" s="7"/>
      <c r="Y234" s="7"/>
      <c r="Z234" s="7"/>
      <c r="AA234" s="7"/>
    </row>
    <row r="235" spans="1:27">
      <c r="A235" s="7"/>
      <c r="B235" s="7"/>
      <c r="C235" s="7"/>
      <c r="D235" s="7"/>
      <c r="E235" s="7"/>
      <c r="F235" s="7"/>
      <c r="G235" s="8"/>
      <c r="H235" s="8"/>
      <c r="I235" s="7"/>
      <c r="J235" s="8" t="str">
        <f t="array" ref="J235">IF(ISBLANK(K235)," ",_xlfn.XLOOKUP(F235,Edades!$A$2:$A$101,IF(I235="F",Edades!$B$2:$B$101,Edades!$C$2:$C$101)))</f>
        <v xml:space="preserve"> </v>
      </c>
      <c r="K235" s="8"/>
      <c r="L235" s="8"/>
      <c r="M235" s="13"/>
      <c r="N235" s="8"/>
      <c r="O235" s="8"/>
      <c r="P235" s="8"/>
      <c r="Q235" s="8"/>
      <c r="R235" s="8"/>
      <c r="S235" s="8"/>
      <c r="T235" s="7"/>
      <c r="U235" s="7"/>
      <c r="V235" s="7"/>
      <c r="W235" s="7"/>
      <c r="X235" s="7"/>
      <c r="Y235" s="7"/>
      <c r="Z235" s="7"/>
      <c r="AA235" s="7"/>
    </row>
    <row r="236" spans="1:27">
      <c r="A236" s="7"/>
      <c r="B236" s="7"/>
      <c r="C236" s="7"/>
      <c r="D236" s="7"/>
      <c r="E236" s="7"/>
      <c r="F236" s="7"/>
      <c r="G236" s="8"/>
      <c r="H236" s="8"/>
      <c r="I236" s="7"/>
      <c r="J236" s="8" t="str">
        <f t="array" ref="J236">IF(ISBLANK(K236)," ",_xlfn.XLOOKUP(F236,Edades!$A$2:$A$101,IF(I236="F",Edades!$B$2:$B$101,Edades!$C$2:$C$101)))</f>
        <v xml:space="preserve"> </v>
      </c>
      <c r="K236" s="8"/>
      <c r="L236" s="8"/>
      <c r="M236" s="13"/>
      <c r="N236" s="8"/>
      <c r="O236" s="8"/>
      <c r="P236" s="8"/>
      <c r="Q236" s="8"/>
      <c r="R236" s="8"/>
      <c r="S236" s="8"/>
      <c r="T236" s="7"/>
      <c r="U236" s="7"/>
      <c r="V236" s="7"/>
      <c r="W236" s="7"/>
      <c r="X236" s="7"/>
      <c r="Y236" s="7"/>
      <c r="Z236" s="7"/>
      <c r="AA236" s="7"/>
    </row>
    <row r="237" spans="1:27">
      <c r="A237" s="7"/>
      <c r="B237" s="7"/>
      <c r="C237" s="7"/>
      <c r="D237" s="7"/>
      <c r="E237" s="7"/>
      <c r="F237" s="7"/>
      <c r="G237" s="8"/>
      <c r="H237" s="8"/>
      <c r="I237" s="7"/>
      <c r="J237" s="8" t="str">
        <f t="array" ref="J237">IF(ISBLANK(K237)," ",_xlfn.XLOOKUP(F237,Edades!$A$2:$A$101,IF(I237="F",Edades!$B$2:$B$101,Edades!$C$2:$C$101)))</f>
        <v xml:space="preserve"> </v>
      </c>
      <c r="K237" s="8"/>
      <c r="L237" s="8"/>
      <c r="M237" s="13"/>
      <c r="N237" s="8"/>
      <c r="O237" s="8"/>
      <c r="P237" s="8"/>
      <c r="Q237" s="8"/>
      <c r="R237" s="8"/>
      <c r="S237" s="8"/>
      <c r="T237" s="7"/>
      <c r="U237" s="7"/>
      <c r="V237" s="7"/>
      <c r="W237" s="7"/>
      <c r="X237" s="7"/>
      <c r="Y237" s="7"/>
      <c r="Z237" s="7"/>
      <c r="AA237" s="7"/>
    </row>
    <row r="238" spans="1:27">
      <c r="A238" s="7"/>
      <c r="B238" s="7"/>
      <c r="C238" s="7"/>
      <c r="D238" s="7"/>
      <c r="E238" s="7"/>
      <c r="F238" s="7"/>
      <c r="G238" s="8"/>
      <c r="H238" s="8"/>
      <c r="I238" s="7"/>
      <c r="J238" s="8" t="str">
        <f t="array" ref="J238">IF(ISBLANK(K238)," ",_xlfn.XLOOKUP(F238,Edades!$A$2:$A$101,IF(I238="F",Edades!$B$2:$B$101,Edades!$C$2:$C$101)))</f>
        <v xml:space="preserve"> </v>
      </c>
      <c r="K238" s="8"/>
      <c r="L238" s="8"/>
      <c r="M238" s="13"/>
      <c r="N238" s="8"/>
      <c r="O238" s="8"/>
      <c r="P238" s="8"/>
      <c r="Q238" s="8"/>
      <c r="R238" s="8"/>
      <c r="S238" s="8"/>
      <c r="T238" s="7"/>
      <c r="U238" s="7"/>
      <c r="V238" s="7"/>
      <c r="W238" s="7"/>
      <c r="X238" s="7"/>
      <c r="Y238" s="7"/>
      <c r="Z238" s="7"/>
      <c r="AA238" s="7"/>
    </row>
    <row r="239" spans="1:27">
      <c r="A239" s="7"/>
      <c r="B239" s="7"/>
      <c r="C239" s="7"/>
      <c r="D239" s="7"/>
      <c r="E239" s="7"/>
      <c r="F239" s="7"/>
      <c r="G239" s="8"/>
      <c r="H239" s="8"/>
      <c r="I239" s="7"/>
      <c r="J239" s="8" t="str">
        <f t="array" ref="J239">IF(ISBLANK(K239)," ",_xlfn.XLOOKUP(F239,Edades!$A$2:$A$101,IF(I239="F",Edades!$B$2:$B$101,Edades!$C$2:$C$101)))</f>
        <v xml:space="preserve"> </v>
      </c>
      <c r="K239" s="8"/>
      <c r="L239" s="8"/>
      <c r="M239" s="13"/>
      <c r="N239" s="8"/>
      <c r="O239" s="8"/>
      <c r="P239" s="8"/>
      <c r="Q239" s="8"/>
      <c r="R239" s="8"/>
      <c r="S239" s="8"/>
      <c r="T239" s="7"/>
      <c r="U239" s="7"/>
      <c r="V239" s="7"/>
      <c r="W239" s="7"/>
      <c r="X239" s="7"/>
      <c r="Y239" s="7"/>
      <c r="Z239" s="7"/>
      <c r="AA239" s="7"/>
    </row>
    <row r="240" spans="1:27">
      <c r="A240" s="7"/>
      <c r="B240" s="7"/>
      <c r="C240" s="7"/>
      <c r="D240" s="7"/>
      <c r="E240" s="7"/>
      <c r="F240" s="7"/>
      <c r="G240" s="8"/>
      <c r="H240" s="8"/>
      <c r="I240" s="7"/>
      <c r="J240" s="8" t="str">
        <f t="array" ref="J240">IF(ISBLANK(K240)," ",_xlfn.XLOOKUP(F240,Edades!$A$2:$A$101,IF(I240="F",Edades!$B$2:$B$101,Edades!$C$2:$C$101)))</f>
        <v xml:space="preserve"> </v>
      </c>
      <c r="K240" s="8"/>
      <c r="L240" s="8"/>
      <c r="M240" s="13"/>
      <c r="N240" s="8"/>
      <c r="O240" s="8"/>
      <c r="P240" s="8"/>
      <c r="Q240" s="8"/>
      <c r="R240" s="8"/>
      <c r="S240" s="8"/>
      <c r="T240" s="7"/>
      <c r="U240" s="7"/>
      <c r="V240" s="7"/>
      <c r="W240" s="7"/>
      <c r="X240" s="7"/>
      <c r="Y240" s="7"/>
      <c r="Z240" s="7"/>
      <c r="AA240" s="7"/>
    </row>
    <row r="241" spans="1:27">
      <c r="A241" s="7"/>
      <c r="B241" s="7"/>
      <c r="C241" s="7"/>
      <c r="D241" s="7"/>
      <c r="E241" s="7"/>
      <c r="F241" s="7"/>
      <c r="G241" s="8"/>
      <c r="H241" s="8"/>
      <c r="I241" s="7"/>
      <c r="J241" s="8" t="str">
        <f t="array" ref="J241">IF(ISBLANK(K241)," ",_xlfn.XLOOKUP(F241,Edades!$A$2:$A$101,IF(I241="F",Edades!$B$2:$B$101,Edades!$C$2:$C$101)))</f>
        <v xml:space="preserve"> </v>
      </c>
      <c r="K241" s="8"/>
      <c r="L241" s="8"/>
      <c r="M241" s="13"/>
      <c r="N241" s="8"/>
      <c r="O241" s="8"/>
      <c r="P241" s="8"/>
      <c r="Q241" s="8"/>
      <c r="R241" s="8"/>
      <c r="S241" s="8"/>
      <c r="T241" s="7"/>
      <c r="U241" s="7"/>
      <c r="V241" s="7"/>
      <c r="W241" s="7"/>
      <c r="X241" s="7"/>
      <c r="Y241" s="7"/>
      <c r="Z241" s="7"/>
      <c r="AA241" s="7"/>
    </row>
    <row r="242" spans="1:27">
      <c r="A242" s="7"/>
      <c r="B242" s="7"/>
      <c r="C242" s="7"/>
      <c r="D242" s="7"/>
      <c r="E242" s="7"/>
      <c r="F242" s="7"/>
      <c r="G242" s="8"/>
      <c r="H242" s="8"/>
      <c r="I242" s="7"/>
      <c r="J242" s="8" t="str">
        <f t="array" ref="J242">IF(ISBLANK(K242)," ",_xlfn.XLOOKUP(F242,Edades!$A$2:$A$101,IF(I242="F",Edades!$B$2:$B$101,Edades!$C$2:$C$101)))</f>
        <v xml:space="preserve"> </v>
      </c>
      <c r="K242" s="8"/>
      <c r="L242" s="8"/>
      <c r="M242" s="13"/>
      <c r="N242" s="8"/>
      <c r="O242" s="8"/>
      <c r="P242" s="8"/>
      <c r="Q242" s="8"/>
      <c r="R242" s="8"/>
      <c r="S242" s="8"/>
      <c r="T242" s="7"/>
      <c r="U242" s="7"/>
      <c r="V242" s="7"/>
      <c r="W242" s="7"/>
      <c r="X242" s="7"/>
      <c r="Y242" s="7"/>
      <c r="Z242" s="7"/>
      <c r="AA242" s="7"/>
    </row>
    <row r="243" spans="1:27">
      <c r="A243" s="7"/>
      <c r="B243" s="7"/>
      <c r="C243" s="7"/>
      <c r="D243" s="7"/>
      <c r="E243" s="7"/>
      <c r="F243" s="7"/>
      <c r="G243" s="8"/>
      <c r="H243" s="8"/>
      <c r="I243" s="7"/>
      <c r="J243" s="8" t="str">
        <f t="array" ref="J243">IF(ISBLANK(K243)," ",_xlfn.XLOOKUP(F243,Edades!$A$2:$A$101,IF(I243="F",Edades!$B$2:$B$101,Edades!$C$2:$C$101)))</f>
        <v xml:space="preserve"> </v>
      </c>
      <c r="K243" s="8"/>
      <c r="L243" s="8"/>
      <c r="M243" s="13"/>
      <c r="N243" s="8"/>
      <c r="O243" s="8"/>
      <c r="P243" s="8"/>
      <c r="Q243" s="8"/>
      <c r="R243" s="8"/>
      <c r="S243" s="8"/>
      <c r="T243" s="7"/>
      <c r="U243" s="7"/>
      <c r="V243" s="7"/>
      <c r="W243" s="7"/>
      <c r="X243" s="7"/>
      <c r="Y243" s="7"/>
      <c r="Z243" s="7"/>
      <c r="AA243" s="7"/>
    </row>
    <row r="244" spans="1:27">
      <c r="A244" s="7"/>
      <c r="B244" s="7"/>
      <c r="C244" s="7"/>
      <c r="D244" s="7"/>
      <c r="E244" s="7"/>
      <c r="F244" s="7"/>
      <c r="G244" s="8"/>
      <c r="H244" s="8"/>
      <c r="I244" s="7"/>
      <c r="J244" s="8" t="str">
        <f t="array" ref="J244">IF(ISBLANK(K244)," ",_xlfn.XLOOKUP(F244,Edades!$A$2:$A$101,IF(I244="F",Edades!$B$2:$B$101,Edades!$C$2:$C$101)))</f>
        <v xml:space="preserve"> </v>
      </c>
      <c r="K244" s="8"/>
      <c r="L244" s="8"/>
      <c r="M244" s="13"/>
      <c r="N244" s="8"/>
      <c r="O244" s="8"/>
      <c r="P244" s="8"/>
      <c r="Q244" s="8"/>
      <c r="R244" s="8"/>
      <c r="S244" s="8"/>
      <c r="T244" s="7"/>
      <c r="U244" s="7"/>
      <c r="V244" s="7"/>
      <c r="W244" s="7"/>
      <c r="X244" s="7"/>
      <c r="Y244" s="7"/>
      <c r="Z244" s="7"/>
      <c r="AA244" s="7"/>
    </row>
    <row r="245" spans="1:27">
      <c r="A245" s="7"/>
      <c r="B245" s="7"/>
      <c r="C245" s="7"/>
      <c r="D245" s="7"/>
      <c r="E245" s="7"/>
      <c r="F245" s="7"/>
      <c r="G245" s="8"/>
      <c r="H245" s="8"/>
      <c r="I245" s="7"/>
      <c r="J245" s="8" t="str">
        <f t="array" ref="J245">IF(ISBLANK(K245)," ",_xlfn.XLOOKUP(F245,Edades!$A$2:$A$101,IF(I245="F",Edades!$B$2:$B$101,Edades!$C$2:$C$101)))</f>
        <v xml:space="preserve"> </v>
      </c>
      <c r="K245" s="8"/>
      <c r="L245" s="8"/>
      <c r="M245" s="13"/>
      <c r="N245" s="8"/>
      <c r="O245" s="8"/>
      <c r="P245" s="8"/>
      <c r="Q245" s="8"/>
      <c r="R245" s="8"/>
      <c r="S245" s="8"/>
      <c r="T245" s="7"/>
      <c r="U245" s="7"/>
      <c r="V245" s="7"/>
      <c r="W245" s="7"/>
      <c r="X245" s="7"/>
      <c r="Y245" s="7"/>
      <c r="Z245" s="7"/>
      <c r="AA245" s="7"/>
    </row>
    <row r="246" spans="1:27">
      <c r="A246" s="7"/>
      <c r="B246" s="7"/>
      <c r="C246" s="7"/>
      <c r="D246" s="7"/>
      <c r="E246" s="7"/>
      <c r="F246" s="7"/>
      <c r="G246" s="8"/>
      <c r="H246" s="8"/>
      <c r="I246" s="7"/>
      <c r="J246" s="8" t="str">
        <f t="array" ref="J246">IF(ISBLANK(K246)," ",_xlfn.XLOOKUP(F246,Edades!$A$2:$A$101,IF(I246="F",Edades!$B$2:$B$101,Edades!$C$2:$C$101)))</f>
        <v xml:space="preserve"> </v>
      </c>
      <c r="K246" s="8"/>
      <c r="L246" s="8"/>
      <c r="M246" s="13"/>
      <c r="N246" s="8"/>
      <c r="O246" s="8"/>
      <c r="P246" s="8"/>
      <c r="Q246" s="8"/>
      <c r="R246" s="8"/>
      <c r="S246" s="8"/>
      <c r="T246" s="7"/>
      <c r="U246" s="7"/>
      <c r="V246" s="7"/>
      <c r="W246" s="7"/>
      <c r="X246" s="7"/>
      <c r="Y246" s="7"/>
      <c r="Z246" s="7"/>
      <c r="AA246" s="7"/>
    </row>
    <row r="247" spans="1:27">
      <c r="A247" s="7"/>
      <c r="B247" s="7"/>
      <c r="C247" s="7"/>
      <c r="D247" s="7"/>
      <c r="E247" s="7"/>
      <c r="F247" s="7"/>
      <c r="G247" s="8"/>
      <c r="H247" s="8"/>
      <c r="I247" s="7"/>
      <c r="J247" s="8" t="str">
        <f t="array" ref="J247">IF(ISBLANK(K247)," ",_xlfn.XLOOKUP(F247,Edades!$A$2:$A$101,IF(I247="F",Edades!$B$2:$B$101,Edades!$C$2:$C$101)))</f>
        <v xml:space="preserve"> </v>
      </c>
      <c r="K247" s="8"/>
      <c r="L247" s="8"/>
      <c r="M247" s="13"/>
      <c r="N247" s="8"/>
      <c r="O247" s="8"/>
      <c r="P247" s="8"/>
      <c r="Q247" s="8"/>
      <c r="R247" s="8"/>
      <c r="S247" s="8"/>
      <c r="T247" s="7"/>
      <c r="U247" s="7"/>
      <c r="V247" s="7"/>
      <c r="W247" s="7"/>
      <c r="X247" s="7"/>
      <c r="Y247" s="7"/>
      <c r="Z247" s="7"/>
      <c r="AA247" s="7"/>
    </row>
    <row r="248" spans="1:27">
      <c r="A248" s="7"/>
      <c r="B248" s="7"/>
      <c r="C248" s="7"/>
      <c r="D248" s="7"/>
      <c r="E248" s="7"/>
      <c r="F248" s="7"/>
      <c r="G248" s="8"/>
      <c r="H248" s="8"/>
      <c r="I248" s="7"/>
      <c r="J248" s="8" t="str">
        <f t="array" ref="J248">IF(ISBLANK(K248)," ",_xlfn.XLOOKUP(F248,Edades!$A$2:$A$101,IF(I248="F",Edades!$B$2:$B$101,Edades!$C$2:$C$101)))</f>
        <v xml:space="preserve"> </v>
      </c>
      <c r="K248" s="8"/>
      <c r="L248" s="8"/>
      <c r="M248" s="13"/>
      <c r="N248" s="8"/>
      <c r="O248" s="8"/>
      <c r="P248" s="8"/>
      <c r="Q248" s="8"/>
      <c r="R248" s="8"/>
      <c r="S248" s="8"/>
      <c r="T248" s="7"/>
      <c r="U248" s="7"/>
      <c r="V248" s="7"/>
      <c r="W248" s="7"/>
      <c r="X248" s="7"/>
      <c r="Y248" s="7"/>
      <c r="Z248" s="7"/>
      <c r="AA248" s="7"/>
    </row>
    <row r="249" spans="1:27">
      <c r="A249" s="7"/>
      <c r="B249" s="7"/>
      <c r="C249" s="7"/>
      <c r="D249" s="7"/>
      <c r="E249" s="7"/>
      <c r="F249" s="7"/>
      <c r="G249" s="8"/>
      <c r="H249" s="8"/>
      <c r="I249" s="7"/>
      <c r="J249" s="8" t="str">
        <f t="array" ref="J249">IF(ISBLANK(K249)," ",_xlfn.XLOOKUP(F249,Edades!$A$2:$A$101,IF(I249="F",Edades!$B$2:$B$101,Edades!$C$2:$C$101)))</f>
        <v xml:space="preserve"> </v>
      </c>
      <c r="K249" s="8"/>
      <c r="L249" s="8"/>
      <c r="M249" s="13"/>
      <c r="N249" s="8"/>
      <c r="O249" s="8"/>
      <c r="P249" s="8"/>
      <c r="Q249" s="8"/>
      <c r="R249" s="8"/>
      <c r="S249" s="8"/>
      <c r="T249" s="7"/>
      <c r="U249" s="7"/>
      <c r="V249" s="7"/>
      <c r="W249" s="7"/>
      <c r="X249" s="7"/>
      <c r="Y249" s="7"/>
      <c r="Z249" s="7"/>
      <c r="AA249" s="7"/>
    </row>
    <row r="250" spans="1:27">
      <c r="A250" s="7"/>
      <c r="B250" s="7"/>
      <c r="C250" s="7"/>
      <c r="D250" s="7"/>
      <c r="E250" s="7"/>
      <c r="F250" s="7"/>
      <c r="G250" s="8"/>
      <c r="H250" s="8"/>
      <c r="I250" s="7"/>
      <c r="J250" s="8" t="str">
        <f t="array" ref="J250">IF(ISBLANK(K250)," ",_xlfn.XLOOKUP(F250,Edades!$A$2:$A$101,IF(I250="F",Edades!$B$2:$B$101,Edades!$C$2:$C$101)))</f>
        <v xml:space="preserve"> </v>
      </c>
      <c r="K250" s="8"/>
      <c r="L250" s="8"/>
      <c r="M250" s="13"/>
      <c r="N250" s="8"/>
      <c r="O250" s="8"/>
      <c r="P250" s="8"/>
      <c r="Q250" s="8"/>
      <c r="R250" s="8"/>
      <c r="S250" s="8"/>
      <c r="T250" s="7"/>
      <c r="U250" s="7"/>
      <c r="V250" s="7"/>
      <c r="W250" s="7"/>
      <c r="X250" s="7"/>
      <c r="Y250" s="7"/>
      <c r="Z250" s="7"/>
      <c r="AA250" s="7"/>
    </row>
    <row r="251" spans="1:27">
      <c r="A251" s="7"/>
      <c r="B251" s="7"/>
      <c r="C251" s="7"/>
      <c r="D251" s="7"/>
      <c r="E251" s="7"/>
      <c r="F251" s="7"/>
      <c r="G251" s="8"/>
      <c r="H251" s="8"/>
      <c r="I251" s="7"/>
      <c r="J251" s="8" t="str">
        <f t="array" ref="J251">IF(ISBLANK(K251)," ",_xlfn.XLOOKUP(F251,Edades!$A$2:$A$101,IF(I251="F",Edades!$B$2:$B$101,Edades!$C$2:$C$101)))</f>
        <v xml:space="preserve"> </v>
      </c>
      <c r="K251" s="8"/>
      <c r="L251" s="8"/>
      <c r="M251" s="13"/>
      <c r="N251" s="8"/>
      <c r="O251" s="8"/>
      <c r="P251" s="8"/>
      <c r="Q251" s="8"/>
      <c r="R251" s="8"/>
      <c r="S251" s="8"/>
      <c r="T251" s="7"/>
      <c r="U251" s="7"/>
      <c r="V251" s="7"/>
      <c r="W251" s="7"/>
      <c r="X251" s="7"/>
      <c r="Y251" s="7"/>
      <c r="Z251" s="7"/>
      <c r="AA251" s="7"/>
    </row>
    <row r="252" spans="1:27">
      <c r="A252" s="7"/>
      <c r="B252" s="7"/>
      <c r="C252" s="7"/>
      <c r="D252" s="7"/>
      <c r="E252" s="7"/>
      <c r="F252" s="7"/>
      <c r="G252" s="8"/>
      <c r="H252" s="8"/>
      <c r="I252" s="7"/>
      <c r="J252" s="8" t="str">
        <f t="array" ref="J252">IF(ISBLANK(K252)," ",_xlfn.XLOOKUP(F252,Edades!$A$2:$A$101,IF(I252="F",Edades!$B$2:$B$101,Edades!$C$2:$C$101)))</f>
        <v xml:space="preserve"> </v>
      </c>
      <c r="K252" s="8"/>
      <c r="L252" s="8"/>
      <c r="M252" s="13"/>
      <c r="N252" s="8"/>
      <c r="O252" s="8"/>
      <c r="P252" s="8"/>
      <c r="Q252" s="8"/>
      <c r="R252" s="8"/>
      <c r="S252" s="8"/>
      <c r="T252" s="7"/>
      <c r="U252" s="7"/>
      <c r="V252" s="7"/>
      <c r="W252" s="7"/>
      <c r="X252" s="7"/>
      <c r="Y252" s="7"/>
      <c r="Z252" s="7"/>
      <c r="AA252" s="7"/>
    </row>
    <row r="253" spans="1:27">
      <c r="A253" s="7"/>
      <c r="B253" s="7"/>
      <c r="C253" s="7"/>
      <c r="D253" s="7"/>
      <c r="E253" s="7"/>
      <c r="F253" s="7"/>
      <c r="G253" s="8"/>
      <c r="H253" s="8"/>
      <c r="I253" s="7"/>
      <c r="J253" s="8" t="str">
        <f t="array" ref="J253">IF(ISBLANK(K253)," ",_xlfn.XLOOKUP(F253,Edades!$A$2:$A$101,IF(I253="F",Edades!$B$2:$B$101,Edades!$C$2:$C$101)))</f>
        <v xml:space="preserve"> </v>
      </c>
      <c r="K253" s="8"/>
      <c r="L253" s="8"/>
      <c r="M253" s="13"/>
      <c r="N253" s="8"/>
      <c r="O253" s="8"/>
      <c r="P253" s="8"/>
      <c r="Q253" s="8"/>
      <c r="R253" s="8"/>
      <c r="S253" s="8"/>
      <c r="T253" s="7"/>
      <c r="U253" s="7"/>
      <c r="V253" s="7"/>
      <c r="W253" s="7"/>
      <c r="X253" s="7"/>
      <c r="Y253" s="7"/>
      <c r="Z253" s="7"/>
      <c r="AA253" s="7"/>
    </row>
    <row r="254" spans="1:27">
      <c r="A254" s="7"/>
      <c r="B254" s="7"/>
      <c r="C254" s="7"/>
      <c r="D254" s="7"/>
      <c r="E254" s="7"/>
      <c r="F254" s="7"/>
      <c r="G254" s="8"/>
      <c r="H254" s="8"/>
      <c r="I254" s="7"/>
      <c r="J254" s="8" t="str">
        <f t="array" ref="J254">IF(ISBLANK(K254)," ",_xlfn.XLOOKUP(F254,Edades!$A$2:$A$101,IF(I254="F",Edades!$B$2:$B$101,Edades!$C$2:$C$101)))</f>
        <v xml:space="preserve"> </v>
      </c>
      <c r="K254" s="8"/>
      <c r="L254" s="8"/>
      <c r="M254" s="13"/>
      <c r="N254" s="8"/>
      <c r="O254" s="8"/>
      <c r="P254" s="8"/>
      <c r="Q254" s="8"/>
      <c r="R254" s="8"/>
      <c r="S254" s="8"/>
      <c r="T254" s="7"/>
      <c r="U254" s="7"/>
      <c r="V254" s="7"/>
      <c r="W254" s="7"/>
      <c r="X254" s="7"/>
      <c r="Y254" s="7"/>
      <c r="Z254" s="7"/>
      <c r="AA254" s="7"/>
    </row>
    <row r="255" spans="1:27">
      <c r="A255" s="7"/>
      <c r="B255" s="7"/>
      <c r="C255" s="7"/>
      <c r="D255" s="7"/>
      <c r="E255" s="7"/>
      <c r="F255" s="7"/>
      <c r="G255" s="8"/>
      <c r="H255" s="8"/>
      <c r="I255" s="7"/>
      <c r="J255" s="8" t="str">
        <f t="array" ref="J255">IF(ISBLANK(K255)," ",_xlfn.XLOOKUP(F255,Edades!$A$2:$A$101,IF(I255="F",Edades!$B$2:$B$101,Edades!$C$2:$C$101)))</f>
        <v xml:space="preserve"> </v>
      </c>
      <c r="K255" s="8"/>
      <c r="L255" s="8"/>
      <c r="M255" s="13"/>
      <c r="N255" s="8"/>
      <c r="O255" s="8"/>
      <c r="P255" s="8"/>
      <c r="Q255" s="8"/>
      <c r="R255" s="8"/>
      <c r="S255" s="8"/>
      <c r="T255" s="7"/>
      <c r="U255" s="7"/>
      <c r="V255" s="7"/>
      <c r="W255" s="7"/>
      <c r="X255" s="7"/>
      <c r="Y255" s="7"/>
      <c r="Z255" s="7"/>
      <c r="AA255" s="7"/>
    </row>
    <row r="256" spans="1:27">
      <c r="A256" s="7"/>
      <c r="B256" s="7"/>
      <c r="C256" s="7"/>
      <c r="D256" s="7"/>
      <c r="E256" s="7"/>
      <c r="F256" s="7"/>
      <c r="G256" s="8"/>
      <c r="H256" s="8"/>
      <c r="I256" s="7"/>
      <c r="J256" s="8" t="str">
        <f t="array" ref="J256">IF(ISBLANK(K256)," ",_xlfn.XLOOKUP(F256,Edades!$A$2:$A$101,IF(I256="F",Edades!$B$2:$B$101,Edades!$C$2:$C$101)))</f>
        <v xml:space="preserve"> </v>
      </c>
      <c r="K256" s="8"/>
      <c r="L256" s="8"/>
      <c r="M256" s="13"/>
      <c r="N256" s="8"/>
      <c r="O256" s="8"/>
      <c r="P256" s="8"/>
      <c r="Q256" s="8"/>
      <c r="R256" s="8"/>
      <c r="S256" s="8"/>
      <c r="T256" s="7"/>
      <c r="U256" s="7"/>
      <c r="V256" s="7"/>
      <c r="W256" s="7"/>
      <c r="X256" s="7"/>
      <c r="Y256" s="7"/>
      <c r="Z256" s="7"/>
      <c r="AA256" s="7"/>
    </row>
    <row r="257" spans="1:27">
      <c r="A257" s="7"/>
      <c r="B257" s="7"/>
      <c r="C257" s="7"/>
      <c r="D257" s="7"/>
      <c r="E257" s="7"/>
      <c r="F257" s="7"/>
      <c r="G257" s="8"/>
      <c r="H257" s="8"/>
      <c r="I257" s="7"/>
      <c r="J257" s="8" t="str">
        <f t="array" ref="J257">IF(ISBLANK(K257)," ",_xlfn.XLOOKUP(F257,Edades!$A$2:$A$101,IF(I257="F",Edades!$B$2:$B$101,Edades!$C$2:$C$101)))</f>
        <v xml:space="preserve"> </v>
      </c>
      <c r="K257" s="8"/>
      <c r="L257" s="8"/>
      <c r="M257" s="13"/>
      <c r="N257" s="8"/>
      <c r="O257" s="8"/>
      <c r="P257" s="8"/>
      <c r="Q257" s="8"/>
      <c r="R257" s="8"/>
      <c r="S257" s="8"/>
      <c r="T257" s="7"/>
      <c r="U257" s="7"/>
      <c r="V257" s="7"/>
      <c r="W257" s="7"/>
      <c r="X257" s="7"/>
      <c r="Y257" s="7"/>
      <c r="Z257" s="7"/>
      <c r="AA257" s="7"/>
    </row>
    <row r="258" spans="1:27">
      <c r="A258" s="7"/>
      <c r="B258" s="7"/>
      <c r="C258" s="7"/>
      <c r="D258" s="7"/>
      <c r="E258" s="7"/>
      <c r="F258" s="7"/>
      <c r="G258" s="8"/>
      <c r="H258" s="8"/>
      <c r="I258" s="7"/>
      <c r="J258" s="8" t="str">
        <f t="array" ref="J258">IF(ISBLANK(K258)," ",_xlfn.XLOOKUP(F258,Edades!$A$2:$A$101,IF(I258="F",Edades!$B$2:$B$101,Edades!$C$2:$C$101)))</f>
        <v xml:space="preserve"> </v>
      </c>
      <c r="K258" s="8"/>
      <c r="L258" s="8"/>
      <c r="M258" s="13"/>
      <c r="N258" s="8"/>
      <c r="O258" s="8"/>
      <c r="P258" s="8"/>
      <c r="Q258" s="8"/>
      <c r="R258" s="8"/>
      <c r="S258" s="8"/>
      <c r="T258" s="7"/>
      <c r="U258" s="7"/>
      <c r="V258" s="7"/>
      <c r="W258" s="7"/>
      <c r="X258" s="7"/>
      <c r="Y258" s="7"/>
      <c r="Z258" s="7"/>
      <c r="AA258" s="7"/>
    </row>
    <row r="259" spans="1:27">
      <c r="A259" s="7"/>
      <c r="B259" s="7"/>
      <c r="C259" s="7"/>
      <c r="D259" s="7"/>
      <c r="E259" s="7"/>
      <c r="F259" s="7"/>
      <c r="G259" s="8"/>
      <c r="H259" s="8"/>
      <c r="I259" s="7"/>
      <c r="J259" s="8" t="str">
        <f t="array" ref="J259">IF(ISBLANK(K259)," ",_xlfn.XLOOKUP(F259,Edades!$A$2:$A$101,IF(I259="F",Edades!$B$2:$B$101,Edades!$C$2:$C$101)))</f>
        <v xml:space="preserve"> </v>
      </c>
      <c r="K259" s="8"/>
      <c r="L259" s="8"/>
      <c r="M259" s="13"/>
      <c r="N259" s="8"/>
      <c r="O259" s="8"/>
      <c r="P259" s="8"/>
      <c r="Q259" s="8"/>
      <c r="R259" s="8"/>
      <c r="S259" s="8"/>
      <c r="T259" s="7"/>
      <c r="U259" s="7"/>
      <c r="V259" s="7"/>
      <c r="W259" s="7"/>
      <c r="X259" s="7"/>
      <c r="Y259" s="7"/>
      <c r="Z259" s="7"/>
      <c r="AA259" s="7"/>
    </row>
    <row r="260" spans="1:27">
      <c r="A260" s="7"/>
      <c r="B260" s="7"/>
      <c r="C260" s="7"/>
      <c r="D260" s="7"/>
      <c r="E260" s="7"/>
      <c r="F260" s="7"/>
      <c r="G260" s="8"/>
      <c r="H260" s="8"/>
      <c r="I260" s="7"/>
      <c r="J260" s="8" t="str">
        <f t="array" ref="J260">IF(ISBLANK(K260)," ",_xlfn.XLOOKUP(F260,Edades!$A$2:$A$101,IF(I260="F",Edades!$B$2:$B$101,Edades!$C$2:$C$101)))</f>
        <v xml:space="preserve"> </v>
      </c>
      <c r="K260" s="8"/>
      <c r="L260" s="8"/>
      <c r="M260" s="13"/>
      <c r="N260" s="8"/>
      <c r="O260" s="8"/>
      <c r="P260" s="8"/>
      <c r="Q260" s="8"/>
      <c r="R260" s="8"/>
      <c r="S260" s="8"/>
      <c r="T260" s="7"/>
      <c r="U260" s="7"/>
      <c r="V260" s="7"/>
      <c r="W260" s="7"/>
      <c r="X260" s="7"/>
      <c r="Y260" s="7"/>
      <c r="Z260" s="7"/>
      <c r="AA260" s="7"/>
    </row>
    <row r="261" spans="1:27">
      <c r="A261" s="7"/>
      <c r="B261" s="7"/>
      <c r="C261" s="7"/>
      <c r="D261" s="7"/>
      <c r="E261" s="7"/>
      <c r="F261" s="7"/>
      <c r="G261" s="8"/>
      <c r="H261" s="8"/>
      <c r="I261" s="7"/>
      <c r="J261" s="8" t="str">
        <f t="array" ref="J261">IF(ISBLANK(K261)," ",_xlfn.XLOOKUP(F261,Edades!$A$2:$A$101,IF(I261="F",Edades!$B$2:$B$101,Edades!$C$2:$C$101)))</f>
        <v xml:space="preserve"> </v>
      </c>
      <c r="K261" s="8"/>
      <c r="L261" s="8"/>
      <c r="M261" s="13"/>
      <c r="N261" s="8"/>
      <c r="O261" s="8"/>
      <c r="P261" s="8"/>
      <c r="Q261" s="8"/>
      <c r="R261" s="8"/>
      <c r="S261" s="8"/>
      <c r="T261" s="7"/>
      <c r="U261" s="7"/>
      <c r="V261" s="7"/>
      <c r="W261" s="7"/>
      <c r="X261" s="7"/>
      <c r="Y261" s="7"/>
      <c r="Z261" s="7"/>
      <c r="AA261" s="7"/>
    </row>
    <row r="262" spans="1:27">
      <c r="A262" s="7"/>
      <c r="B262" s="7"/>
      <c r="C262" s="7"/>
      <c r="D262" s="7"/>
      <c r="E262" s="7"/>
      <c r="F262" s="7"/>
      <c r="G262" s="8"/>
      <c r="H262" s="8"/>
      <c r="I262" s="7"/>
      <c r="J262" s="8" t="str">
        <f t="array" ref="J262">IF(ISBLANK(K262)," ",_xlfn.XLOOKUP(F262,Edades!$A$2:$A$101,IF(I262="F",Edades!$B$2:$B$101,Edades!$C$2:$C$101)))</f>
        <v xml:space="preserve"> </v>
      </c>
      <c r="K262" s="8"/>
      <c r="L262" s="8"/>
      <c r="M262" s="13"/>
      <c r="N262" s="8"/>
      <c r="O262" s="8"/>
      <c r="P262" s="8"/>
      <c r="Q262" s="8"/>
      <c r="R262" s="8"/>
      <c r="S262" s="8"/>
      <c r="T262" s="7"/>
      <c r="U262" s="7"/>
      <c r="V262" s="7"/>
      <c r="W262" s="7"/>
      <c r="X262" s="7"/>
      <c r="Y262" s="7"/>
      <c r="Z262" s="7"/>
      <c r="AA262" s="7"/>
    </row>
    <row r="263" spans="1:27">
      <c r="A263" s="7"/>
      <c r="B263" s="7"/>
      <c r="C263" s="7"/>
      <c r="D263" s="7"/>
      <c r="E263" s="7"/>
      <c r="F263" s="7"/>
      <c r="G263" s="8"/>
      <c r="H263" s="8"/>
      <c r="I263" s="7"/>
      <c r="J263" s="8" t="str">
        <f t="array" ref="J263">IF(ISBLANK(K263)," ",_xlfn.XLOOKUP(F263,Edades!$A$2:$A$101,IF(I263="F",Edades!$B$2:$B$101,Edades!$C$2:$C$101)))</f>
        <v xml:space="preserve"> </v>
      </c>
      <c r="K263" s="8"/>
      <c r="L263" s="8"/>
      <c r="M263" s="13"/>
      <c r="N263" s="8"/>
      <c r="O263" s="8"/>
      <c r="P263" s="8"/>
      <c r="Q263" s="8"/>
      <c r="R263" s="8"/>
      <c r="S263" s="8"/>
      <c r="T263" s="7"/>
      <c r="U263" s="7"/>
      <c r="V263" s="7"/>
      <c r="W263" s="7"/>
      <c r="X263" s="7"/>
      <c r="Y263" s="7"/>
      <c r="Z263" s="7"/>
      <c r="AA263" s="7"/>
    </row>
    <row r="264" spans="1:27">
      <c r="A264" s="7"/>
      <c r="B264" s="7"/>
      <c r="C264" s="7"/>
      <c r="D264" s="7"/>
      <c r="E264" s="7"/>
      <c r="F264" s="7"/>
      <c r="G264" s="8"/>
      <c r="H264" s="8"/>
      <c r="I264" s="7"/>
      <c r="J264" s="8" t="str">
        <f t="array" ref="J264">IF(ISBLANK(K264)," ",_xlfn.XLOOKUP(F264,Edades!$A$2:$A$101,IF(I264="F",Edades!$B$2:$B$101,Edades!$C$2:$C$101)))</f>
        <v xml:space="preserve"> </v>
      </c>
      <c r="K264" s="8"/>
      <c r="L264" s="8"/>
      <c r="M264" s="13"/>
      <c r="N264" s="8"/>
      <c r="O264" s="8"/>
      <c r="P264" s="8"/>
      <c r="Q264" s="8"/>
      <c r="R264" s="8"/>
      <c r="S264" s="8"/>
      <c r="T264" s="7"/>
      <c r="U264" s="7"/>
      <c r="V264" s="7"/>
      <c r="W264" s="7"/>
      <c r="X264" s="7"/>
      <c r="Y264" s="7"/>
      <c r="Z264" s="7"/>
      <c r="AA264" s="7"/>
    </row>
    <row r="265" spans="1:27">
      <c r="A265" s="7"/>
      <c r="B265" s="7"/>
      <c r="C265" s="7"/>
      <c r="D265" s="7"/>
      <c r="E265" s="7"/>
      <c r="F265" s="7"/>
      <c r="G265" s="8"/>
      <c r="H265" s="8"/>
      <c r="I265" s="7"/>
      <c r="J265" s="8" t="str">
        <f t="array" ref="J265">IF(ISBLANK(K265)," ",_xlfn.XLOOKUP(F265,Edades!$A$2:$A$101,IF(I265="F",Edades!$B$2:$B$101,Edades!$C$2:$C$101)))</f>
        <v xml:space="preserve"> </v>
      </c>
      <c r="K265" s="8"/>
      <c r="L265" s="8"/>
      <c r="M265" s="13"/>
      <c r="N265" s="8"/>
      <c r="O265" s="8"/>
      <c r="P265" s="8"/>
      <c r="Q265" s="8"/>
      <c r="R265" s="8"/>
      <c r="S265" s="8"/>
      <c r="T265" s="7"/>
      <c r="U265" s="7"/>
      <c r="V265" s="7"/>
      <c r="W265" s="7"/>
      <c r="X265" s="7"/>
      <c r="Y265" s="7"/>
      <c r="Z265" s="7"/>
      <c r="AA265" s="7"/>
    </row>
    <row r="266" spans="1:27">
      <c r="A266" s="7"/>
      <c r="B266" s="7"/>
      <c r="C266" s="7"/>
      <c r="D266" s="7"/>
      <c r="E266" s="7"/>
      <c r="F266" s="7"/>
      <c r="G266" s="8"/>
      <c r="H266" s="8"/>
      <c r="I266" s="7"/>
      <c r="J266" s="8" t="str">
        <f t="array" ref="J266">IF(ISBLANK(K266)," ",_xlfn.XLOOKUP(F266,Edades!$A$2:$A$101,IF(I266="F",Edades!$B$2:$B$101,Edades!$C$2:$C$101)))</f>
        <v xml:space="preserve"> </v>
      </c>
      <c r="K266" s="8"/>
      <c r="L266" s="8"/>
      <c r="M266" s="13"/>
      <c r="N266" s="8"/>
      <c r="O266" s="8"/>
      <c r="P266" s="8"/>
      <c r="Q266" s="8"/>
      <c r="R266" s="8"/>
      <c r="S266" s="8"/>
      <c r="T266" s="7"/>
      <c r="U266" s="7"/>
      <c r="V266" s="7"/>
      <c r="W266" s="7"/>
      <c r="X266" s="7"/>
      <c r="Y266" s="7"/>
      <c r="Z266" s="7"/>
      <c r="AA266" s="7"/>
    </row>
    <row r="267" spans="1:27">
      <c r="A267" s="7"/>
      <c r="B267" s="7"/>
      <c r="C267" s="7"/>
      <c r="D267" s="7"/>
      <c r="E267" s="7"/>
      <c r="F267" s="7"/>
      <c r="G267" s="8"/>
      <c r="H267" s="8"/>
      <c r="I267" s="7"/>
      <c r="J267" s="8" t="str">
        <f t="array" ref="J267">IF(ISBLANK(K267)," ",_xlfn.XLOOKUP(F267,Edades!$A$2:$A$101,IF(I267="F",Edades!$B$2:$B$101,Edades!$C$2:$C$101)))</f>
        <v xml:space="preserve"> </v>
      </c>
      <c r="K267" s="8"/>
      <c r="L267" s="8"/>
      <c r="M267" s="13"/>
      <c r="N267" s="8"/>
      <c r="O267" s="8"/>
      <c r="P267" s="8"/>
      <c r="Q267" s="8"/>
      <c r="R267" s="8"/>
      <c r="S267" s="8"/>
      <c r="T267" s="7"/>
      <c r="U267" s="7"/>
      <c r="V267" s="7"/>
      <c r="W267" s="7"/>
      <c r="X267" s="7"/>
      <c r="Y267" s="7"/>
      <c r="Z267" s="7"/>
      <c r="AA267" s="7"/>
    </row>
    <row r="268" spans="1:27">
      <c r="A268" s="7"/>
      <c r="B268" s="7"/>
      <c r="C268" s="7"/>
      <c r="D268" s="7"/>
      <c r="E268" s="7"/>
      <c r="F268" s="7"/>
      <c r="G268" s="8"/>
      <c r="H268" s="8"/>
      <c r="I268" s="7"/>
      <c r="J268" s="8" t="str">
        <f t="array" ref="J268">IF(ISBLANK(K268)," ",_xlfn.XLOOKUP(F268,Edades!$A$2:$A$101,IF(I268="F",Edades!$B$2:$B$101,Edades!$C$2:$C$101)))</f>
        <v xml:space="preserve"> </v>
      </c>
      <c r="K268" s="8"/>
      <c r="L268" s="8"/>
      <c r="M268" s="13"/>
      <c r="N268" s="8"/>
      <c r="O268" s="8"/>
      <c r="P268" s="8"/>
      <c r="Q268" s="8"/>
      <c r="R268" s="8"/>
      <c r="S268" s="8"/>
      <c r="T268" s="7"/>
      <c r="U268" s="7"/>
      <c r="V268" s="7"/>
      <c r="W268" s="7"/>
      <c r="X268" s="7"/>
      <c r="Y268" s="7"/>
      <c r="Z268" s="7"/>
      <c r="AA268" s="7"/>
    </row>
    <row r="269" spans="1:27">
      <c r="A269" s="7"/>
      <c r="B269" s="7"/>
      <c r="C269" s="7"/>
      <c r="D269" s="7"/>
      <c r="E269" s="7"/>
      <c r="F269" s="7"/>
      <c r="G269" s="8"/>
      <c r="H269" s="8"/>
      <c r="I269" s="7"/>
      <c r="J269" s="8" t="str">
        <f t="array" ref="J269">IF(ISBLANK(K269)," ",_xlfn.XLOOKUP(F269,Edades!$A$2:$A$101,IF(I269="F",Edades!$B$2:$B$101,Edades!$C$2:$C$101)))</f>
        <v xml:space="preserve"> </v>
      </c>
      <c r="K269" s="8"/>
      <c r="L269" s="8"/>
      <c r="M269" s="13"/>
      <c r="N269" s="8"/>
      <c r="O269" s="8"/>
      <c r="P269" s="8"/>
      <c r="Q269" s="8"/>
      <c r="R269" s="8"/>
      <c r="S269" s="8"/>
      <c r="T269" s="7"/>
      <c r="U269" s="7"/>
      <c r="V269" s="7"/>
      <c r="W269" s="7"/>
      <c r="X269" s="7"/>
      <c r="Y269" s="7"/>
      <c r="Z269" s="7"/>
      <c r="AA269" s="7"/>
    </row>
    <row r="270" spans="1:27">
      <c r="A270" s="7"/>
      <c r="B270" s="7"/>
      <c r="C270" s="7"/>
      <c r="D270" s="7"/>
      <c r="E270" s="7"/>
      <c r="F270" s="7"/>
      <c r="G270" s="8"/>
      <c r="H270" s="8"/>
      <c r="I270" s="7"/>
      <c r="J270" s="8" t="str">
        <f t="array" ref="J270">IF(ISBLANK(K270)," ",_xlfn.XLOOKUP(F270,Edades!$A$2:$A$101,IF(I270="F",Edades!$B$2:$B$101,Edades!$C$2:$C$101)))</f>
        <v xml:space="preserve"> </v>
      </c>
      <c r="K270" s="8"/>
      <c r="L270" s="8"/>
      <c r="M270" s="13"/>
      <c r="N270" s="8"/>
      <c r="O270" s="8"/>
      <c r="P270" s="8"/>
      <c r="Q270" s="8"/>
      <c r="R270" s="8"/>
      <c r="S270" s="8"/>
      <c r="T270" s="7"/>
      <c r="U270" s="7"/>
      <c r="V270" s="7"/>
      <c r="W270" s="7"/>
      <c r="X270" s="7"/>
      <c r="Y270" s="7"/>
      <c r="Z270" s="7"/>
      <c r="AA270" s="7"/>
    </row>
    <row r="271" spans="1:27">
      <c r="A271" s="7"/>
      <c r="B271" s="7"/>
      <c r="C271" s="7"/>
      <c r="D271" s="7"/>
      <c r="E271" s="7"/>
      <c r="F271" s="7"/>
      <c r="G271" s="8"/>
      <c r="H271" s="8"/>
      <c r="I271" s="7"/>
      <c r="J271" s="8" t="str">
        <f t="array" ref="J271">IF(ISBLANK(K271)," ",_xlfn.XLOOKUP(F271,Edades!$A$2:$A$101,IF(I271="F",Edades!$B$2:$B$101,Edades!$C$2:$C$101)))</f>
        <v xml:space="preserve"> </v>
      </c>
      <c r="K271" s="8"/>
      <c r="L271" s="8"/>
      <c r="M271" s="13"/>
      <c r="N271" s="8"/>
      <c r="O271" s="8"/>
      <c r="P271" s="8"/>
      <c r="Q271" s="8"/>
      <c r="R271" s="8"/>
      <c r="S271" s="8"/>
      <c r="T271" s="7"/>
      <c r="U271" s="7"/>
      <c r="V271" s="7"/>
      <c r="W271" s="7"/>
      <c r="X271" s="7"/>
      <c r="Y271" s="7"/>
      <c r="Z271" s="7"/>
      <c r="AA271" s="7"/>
    </row>
    <row r="272" spans="1:27">
      <c r="A272" s="7"/>
      <c r="B272" s="7"/>
      <c r="C272" s="7"/>
      <c r="D272" s="7"/>
      <c r="E272" s="7"/>
      <c r="F272" s="7"/>
      <c r="G272" s="8"/>
      <c r="H272" s="8"/>
      <c r="I272" s="7"/>
      <c r="J272" s="8" t="str">
        <f t="array" ref="J272">IF(ISBLANK(K272)," ",_xlfn.XLOOKUP(F272,Edades!$A$2:$A$101,IF(I272="F",Edades!$B$2:$B$101,Edades!$C$2:$C$101)))</f>
        <v xml:space="preserve"> </v>
      </c>
      <c r="K272" s="8"/>
      <c r="L272" s="8"/>
      <c r="M272" s="13"/>
      <c r="N272" s="8"/>
      <c r="O272" s="8"/>
      <c r="P272" s="8"/>
      <c r="Q272" s="8"/>
      <c r="R272" s="8"/>
      <c r="S272" s="8"/>
      <c r="T272" s="7"/>
      <c r="U272" s="7"/>
      <c r="V272" s="7"/>
      <c r="W272" s="7"/>
      <c r="X272" s="7"/>
      <c r="Y272" s="7"/>
      <c r="Z272" s="7"/>
      <c r="AA272" s="7"/>
    </row>
    <row r="273" spans="1:27">
      <c r="A273" s="7"/>
      <c r="B273" s="7"/>
      <c r="C273" s="7"/>
      <c r="D273" s="7"/>
      <c r="E273" s="7"/>
      <c r="F273" s="7"/>
      <c r="G273" s="8"/>
      <c r="H273" s="8"/>
      <c r="I273" s="7"/>
      <c r="J273" s="8" t="str">
        <f t="array" ref="J273">IF(ISBLANK(K273)," ",_xlfn.XLOOKUP(F273,Edades!$A$2:$A$101,IF(I273="F",Edades!$B$2:$B$101,Edades!$C$2:$C$101)))</f>
        <v xml:space="preserve"> </v>
      </c>
      <c r="K273" s="8"/>
      <c r="L273" s="8"/>
      <c r="M273" s="13"/>
      <c r="N273" s="8"/>
      <c r="O273" s="8"/>
      <c r="P273" s="8"/>
      <c r="Q273" s="8"/>
      <c r="R273" s="8"/>
      <c r="S273" s="8"/>
      <c r="T273" s="7"/>
      <c r="U273" s="7"/>
      <c r="V273" s="7"/>
      <c r="W273" s="7"/>
      <c r="X273" s="7"/>
      <c r="Y273" s="7"/>
      <c r="Z273" s="7"/>
      <c r="AA273" s="7"/>
    </row>
    <row r="274" spans="1:27">
      <c r="A274" s="7"/>
      <c r="B274" s="7"/>
      <c r="C274" s="7"/>
      <c r="D274" s="7"/>
      <c r="E274" s="7"/>
      <c r="F274" s="7"/>
      <c r="G274" s="8"/>
      <c r="H274" s="8"/>
      <c r="I274" s="7"/>
      <c r="J274" s="8" t="str">
        <f t="array" ref="J274">IF(ISBLANK(K274)," ",_xlfn.XLOOKUP(F274,Edades!$A$2:$A$101,IF(I274="F",Edades!$B$2:$B$101,Edades!$C$2:$C$101)))</f>
        <v xml:space="preserve"> </v>
      </c>
      <c r="K274" s="8"/>
      <c r="L274" s="8"/>
      <c r="M274" s="13"/>
      <c r="N274" s="8"/>
      <c r="O274" s="8"/>
      <c r="P274" s="8"/>
      <c r="Q274" s="8"/>
      <c r="R274" s="8"/>
      <c r="S274" s="8"/>
      <c r="T274" s="7"/>
      <c r="U274" s="7"/>
      <c r="V274" s="7"/>
      <c r="W274" s="7"/>
      <c r="X274" s="7"/>
      <c r="Y274" s="7"/>
      <c r="Z274" s="7"/>
      <c r="AA274" s="7"/>
    </row>
    <row r="275" spans="1:27">
      <c r="A275" s="7"/>
      <c r="B275" s="7"/>
      <c r="C275" s="7"/>
      <c r="D275" s="7"/>
      <c r="E275" s="7"/>
      <c r="F275" s="7"/>
      <c r="G275" s="8"/>
      <c r="H275" s="8"/>
      <c r="I275" s="7"/>
      <c r="J275" s="8" t="str">
        <f t="array" ref="J275">IF(ISBLANK(K275)," ",_xlfn.XLOOKUP(F275,Edades!$A$2:$A$101,IF(I275="F",Edades!$B$2:$B$101,Edades!$C$2:$C$101)))</f>
        <v xml:space="preserve"> </v>
      </c>
      <c r="K275" s="8"/>
      <c r="L275" s="8"/>
      <c r="M275" s="13"/>
      <c r="N275" s="8"/>
      <c r="O275" s="8"/>
      <c r="P275" s="8"/>
      <c r="Q275" s="8"/>
      <c r="R275" s="8"/>
      <c r="S275" s="8"/>
      <c r="T275" s="7"/>
      <c r="U275" s="7"/>
      <c r="V275" s="7"/>
      <c r="W275" s="7"/>
      <c r="X275" s="7"/>
      <c r="Y275" s="7"/>
      <c r="Z275" s="7"/>
      <c r="AA275" s="7"/>
    </row>
    <row r="276" spans="1:27">
      <c r="A276" s="7"/>
      <c r="B276" s="7"/>
      <c r="C276" s="7"/>
      <c r="D276" s="7"/>
      <c r="E276" s="7"/>
      <c r="F276" s="7"/>
      <c r="G276" s="8"/>
      <c r="H276" s="8"/>
      <c r="I276" s="7"/>
      <c r="J276" s="8" t="str">
        <f t="array" ref="J276">IF(ISBLANK(K276)," ",_xlfn.XLOOKUP(F276,Edades!$A$2:$A$101,IF(I276="F",Edades!$B$2:$B$101,Edades!$C$2:$C$101)))</f>
        <v xml:space="preserve"> </v>
      </c>
      <c r="K276" s="8"/>
      <c r="L276" s="8"/>
      <c r="M276" s="13"/>
      <c r="N276" s="8"/>
      <c r="O276" s="8"/>
      <c r="P276" s="8"/>
      <c r="Q276" s="8"/>
      <c r="R276" s="8"/>
      <c r="S276" s="8"/>
      <c r="T276" s="7"/>
      <c r="U276" s="7"/>
      <c r="V276" s="7"/>
      <c r="W276" s="7"/>
      <c r="X276" s="7"/>
      <c r="Y276" s="7"/>
      <c r="Z276" s="7"/>
      <c r="AA276" s="7"/>
    </row>
    <row r="277" spans="1:27">
      <c r="A277" s="7"/>
      <c r="B277" s="7"/>
      <c r="C277" s="7"/>
      <c r="D277" s="7"/>
      <c r="E277" s="7"/>
      <c r="F277" s="7"/>
      <c r="G277" s="8"/>
      <c r="H277" s="8"/>
      <c r="I277" s="7"/>
      <c r="J277" s="8" t="str">
        <f t="array" ref="J277">IF(ISBLANK(K277)," ",_xlfn.XLOOKUP(F277,Edades!$A$2:$A$101,IF(I277="F",Edades!$B$2:$B$101,Edades!$C$2:$C$101)))</f>
        <v xml:space="preserve"> </v>
      </c>
      <c r="K277" s="8"/>
      <c r="L277" s="8"/>
      <c r="M277" s="13"/>
      <c r="N277" s="8"/>
      <c r="O277" s="8"/>
      <c r="P277" s="8"/>
      <c r="Q277" s="8"/>
      <c r="R277" s="8"/>
      <c r="S277" s="8"/>
      <c r="T277" s="7"/>
      <c r="U277" s="7"/>
      <c r="V277" s="7"/>
      <c r="W277" s="7"/>
      <c r="X277" s="7"/>
      <c r="Y277" s="7"/>
      <c r="Z277" s="7"/>
      <c r="AA277" s="7"/>
    </row>
    <row r="278" spans="1:27">
      <c r="A278" s="7"/>
      <c r="B278" s="7"/>
      <c r="C278" s="7"/>
      <c r="D278" s="7"/>
      <c r="E278" s="7"/>
      <c r="F278" s="7"/>
      <c r="G278" s="8"/>
      <c r="H278" s="8"/>
      <c r="I278" s="7"/>
      <c r="J278" s="8" t="str">
        <f t="array" ref="J278">IF(ISBLANK(K278)," ",_xlfn.XLOOKUP(F278,Edades!$A$2:$A$101,IF(I278="F",Edades!$B$2:$B$101,Edades!$C$2:$C$101)))</f>
        <v xml:space="preserve"> </v>
      </c>
      <c r="K278" s="8"/>
      <c r="L278" s="8"/>
      <c r="M278" s="13"/>
      <c r="N278" s="8"/>
      <c r="O278" s="8"/>
      <c r="P278" s="8"/>
      <c r="Q278" s="8"/>
      <c r="R278" s="8"/>
      <c r="S278" s="8"/>
      <c r="T278" s="7"/>
      <c r="U278" s="7"/>
      <c r="V278" s="7"/>
      <c r="W278" s="7"/>
      <c r="X278" s="7"/>
      <c r="Y278" s="7"/>
      <c r="Z278" s="7"/>
      <c r="AA278" s="7"/>
    </row>
    <row r="279" spans="1:27">
      <c r="A279" s="7"/>
      <c r="B279" s="7"/>
      <c r="C279" s="7"/>
      <c r="D279" s="7"/>
      <c r="E279" s="7"/>
      <c r="F279" s="7"/>
      <c r="G279" s="8"/>
      <c r="H279" s="8"/>
      <c r="I279" s="7"/>
      <c r="J279" s="8" t="str">
        <f t="array" ref="J279">IF(ISBLANK(K279)," ",_xlfn.XLOOKUP(F279,Edades!$A$2:$A$101,IF(I279="F",Edades!$B$2:$B$101,Edades!$C$2:$C$101)))</f>
        <v xml:space="preserve"> </v>
      </c>
      <c r="K279" s="8"/>
      <c r="L279" s="8"/>
      <c r="M279" s="13"/>
      <c r="N279" s="8"/>
      <c r="O279" s="8"/>
      <c r="P279" s="8"/>
      <c r="Q279" s="8"/>
      <c r="R279" s="8"/>
      <c r="S279" s="8"/>
      <c r="T279" s="7"/>
      <c r="U279" s="7"/>
      <c r="V279" s="7"/>
      <c r="W279" s="7"/>
      <c r="X279" s="7"/>
      <c r="Y279" s="7"/>
      <c r="Z279" s="7"/>
      <c r="AA279" s="7"/>
    </row>
    <row r="280" spans="1:27">
      <c r="A280" s="7"/>
      <c r="B280" s="7"/>
      <c r="C280" s="7"/>
      <c r="D280" s="7"/>
      <c r="E280" s="7"/>
      <c r="F280" s="7"/>
      <c r="G280" s="8"/>
      <c r="H280" s="8"/>
      <c r="I280" s="7"/>
      <c r="J280" s="8" t="str">
        <f t="array" ref="J280">IF(ISBLANK(K280)," ",_xlfn.XLOOKUP(F280,Edades!$A$2:$A$101,IF(I280="F",Edades!$B$2:$B$101,Edades!$C$2:$C$101)))</f>
        <v xml:space="preserve"> </v>
      </c>
      <c r="K280" s="8"/>
      <c r="L280" s="8"/>
      <c r="M280" s="13"/>
      <c r="N280" s="8"/>
      <c r="O280" s="8"/>
      <c r="P280" s="8"/>
      <c r="Q280" s="8"/>
      <c r="R280" s="8"/>
      <c r="S280" s="8"/>
      <c r="T280" s="7"/>
      <c r="U280" s="7"/>
      <c r="V280" s="7"/>
      <c r="W280" s="7"/>
      <c r="X280" s="7"/>
      <c r="Y280" s="7"/>
      <c r="Z280" s="7"/>
      <c r="AA280" s="7"/>
    </row>
    <row r="281" spans="1:27">
      <c r="A281" s="7"/>
      <c r="B281" s="7"/>
      <c r="C281" s="7"/>
      <c r="D281" s="7"/>
      <c r="E281" s="7"/>
      <c r="F281" s="7"/>
      <c r="G281" s="8"/>
      <c r="H281" s="8"/>
      <c r="I281" s="7"/>
      <c r="J281" s="8" t="str">
        <f t="array" ref="J281">IF(ISBLANK(K281)," ",_xlfn.XLOOKUP(F281,Edades!$A$2:$A$101,IF(I281="F",Edades!$B$2:$B$101,Edades!$C$2:$C$101)))</f>
        <v xml:space="preserve"> </v>
      </c>
      <c r="K281" s="8"/>
      <c r="L281" s="8"/>
      <c r="M281" s="13"/>
      <c r="N281" s="8"/>
      <c r="O281" s="8"/>
      <c r="P281" s="8"/>
      <c r="Q281" s="8"/>
      <c r="R281" s="8"/>
      <c r="S281" s="8"/>
      <c r="T281" s="7"/>
      <c r="U281" s="7"/>
      <c r="V281" s="7"/>
      <c r="W281" s="7"/>
      <c r="X281" s="7"/>
      <c r="Y281" s="7"/>
      <c r="Z281" s="7"/>
      <c r="AA281" s="7"/>
    </row>
    <row r="282" spans="1:27">
      <c r="A282" s="7"/>
      <c r="B282" s="7"/>
      <c r="C282" s="7"/>
      <c r="D282" s="7"/>
      <c r="E282" s="7"/>
      <c r="F282" s="7"/>
      <c r="G282" s="8"/>
      <c r="H282" s="8"/>
      <c r="I282" s="7"/>
      <c r="J282" s="8" t="str">
        <f t="array" ref="J282">IF(ISBLANK(K282)," ",_xlfn.XLOOKUP(F282,Edades!$A$2:$A$101,IF(I282="F",Edades!$B$2:$B$101,Edades!$C$2:$C$101)))</f>
        <v xml:space="preserve"> </v>
      </c>
      <c r="K282" s="8"/>
      <c r="L282" s="8"/>
      <c r="M282" s="13"/>
      <c r="N282" s="8"/>
      <c r="O282" s="8"/>
      <c r="P282" s="8"/>
      <c r="Q282" s="8"/>
      <c r="R282" s="8"/>
      <c r="S282" s="8"/>
      <c r="T282" s="7"/>
      <c r="U282" s="7"/>
      <c r="V282" s="7"/>
      <c r="W282" s="7"/>
      <c r="X282" s="7"/>
      <c r="Y282" s="7"/>
      <c r="Z282" s="7"/>
      <c r="AA282" s="7"/>
    </row>
    <row r="283" spans="1:27">
      <c r="A283" s="7"/>
      <c r="B283" s="7"/>
      <c r="C283" s="7"/>
      <c r="D283" s="7"/>
      <c r="E283" s="7"/>
      <c r="F283" s="7"/>
      <c r="G283" s="8"/>
      <c r="H283" s="8"/>
      <c r="I283" s="7"/>
      <c r="J283" s="8" t="str">
        <f t="array" ref="J283">IF(ISBLANK(K283)," ",_xlfn.XLOOKUP(F283,Edades!$A$2:$A$101,IF(I283="F",Edades!$B$2:$B$101,Edades!$C$2:$C$101)))</f>
        <v xml:space="preserve"> </v>
      </c>
      <c r="K283" s="8"/>
      <c r="L283" s="8"/>
      <c r="M283" s="13"/>
      <c r="N283" s="8"/>
      <c r="O283" s="8"/>
      <c r="P283" s="8"/>
      <c r="Q283" s="8"/>
      <c r="R283" s="8"/>
      <c r="S283" s="8"/>
      <c r="T283" s="7"/>
      <c r="U283" s="7"/>
      <c r="V283" s="7"/>
      <c r="W283" s="7"/>
      <c r="X283" s="7"/>
      <c r="Y283" s="7"/>
      <c r="Z283" s="7"/>
      <c r="AA283" s="7"/>
    </row>
    <row r="284" spans="1:27">
      <c r="A284" s="7"/>
      <c r="B284" s="7"/>
      <c r="C284" s="7"/>
      <c r="D284" s="7"/>
      <c r="E284" s="7"/>
      <c r="F284" s="7"/>
      <c r="G284" s="8"/>
      <c r="H284" s="8"/>
      <c r="I284" s="7"/>
      <c r="J284" s="8" t="str">
        <f t="array" ref="J284">IF(ISBLANK(K284)," ",_xlfn.XLOOKUP(F284,Edades!$A$2:$A$101,IF(I284="F",Edades!$B$2:$B$101,Edades!$C$2:$C$101)))</f>
        <v xml:space="preserve"> </v>
      </c>
      <c r="K284" s="8"/>
      <c r="L284" s="8"/>
      <c r="M284" s="13"/>
      <c r="N284" s="8"/>
      <c r="O284" s="8"/>
      <c r="P284" s="8"/>
      <c r="Q284" s="8"/>
      <c r="R284" s="8"/>
      <c r="S284" s="8"/>
      <c r="T284" s="7"/>
      <c r="U284" s="7"/>
      <c r="V284" s="7"/>
      <c r="W284" s="7"/>
      <c r="X284" s="7"/>
      <c r="Y284" s="7"/>
      <c r="Z284" s="7"/>
      <c r="AA284" s="7"/>
    </row>
    <row r="285" spans="1:27">
      <c r="A285" s="7"/>
      <c r="B285" s="7"/>
      <c r="C285" s="7"/>
      <c r="D285" s="7"/>
      <c r="E285" s="7"/>
      <c r="F285" s="7"/>
      <c r="G285" s="8"/>
      <c r="H285" s="8"/>
      <c r="I285" s="7"/>
      <c r="J285" s="8" t="str">
        <f t="array" ref="J285">IF(ISBLANK(K285)," ",_xlfn.XLOOKUP(F285,Edades!$A$2:$A$101,IF(I285="F",Edades!$B$2:$B$101,Edades!$C$2:$C$101)))</f>
        <v xml:space="preserve"> </v>
      </c>
      <c r="K285" s="8"/>
      <c r="L285" s="8"/>
      <c r="M285" s="13"/>
      <c r="N285" s="8"/>
      <c r="O285" s="8"/>
      <c r="P285" s="8"/>
      <c r="Q285" s="8"/>
      <c r="R285" s="8"/>
      <c r="S285" s="8"/>
      <c r="T285" s="7"/>
      <c r="U285" s="7"/>
      <c r="V285" s="7"/>
      <c r="W285" s="7"/>
      <c r="X285" s="7"/>
      <c r="Y285" s="7"/>
      <c r="Z285" s="7"/>
      <c r="AA285" s="7"/>
    </row>
    <row r="286" spans="1:27">
      <c r="A286" s="7"/>
      <c r="B286" s="7"/>
      <c r="C286" s="7"/>
      <c r="D286" s="7"/>
      <c r="E286" s="7"/>
      <c r="F286" s="7"/>
      <c r="G286" s="8"/>
      <c r="H286" s="8"/>
      <c r="I286" s="7"/>
      <c r="J286" s="8" t="str">
        <f t="array" ref="J286">IF(ISBLANK(K286)," ",_xlfn.XLOOKUP(F286,Edades!$A$2:$A$101,IF(I286="F",Edades!$B$2:$B$101,Edades!$C$2:$C$101)))</f>
        <v xml:space="preserve"> </v>
      </c>
      <c r="K286" s="8"/>
      <c r="L286" s="8"/>
      <c r="M286" s="13"/>
      <c r="N286" s="8"/>
      <c r="O286" s="8"/>
      <c r="P286" s="8"/>
      <c r="Q286" s="8"/>
      <c r="R286" s="8"/>
      <c r="S286" s="8"/>
      <c r="T286" s="7"/>
      <c r="U286" s="7"/>
      <c r="V286" s="7"/>
      <c r="W286" s="7"/>
      <c r="X286" s="7"/>
      <c r="Y286" s="7"/>
      <c r="Z286" s="7"/>
      <c r="AA286" s="7"/>
    </row>
    <row r="287" spans="1:27">
      <c r="A287" s="7"/>
      <c r="B287" s="7"/>
      <c r="C287" s="7"/>
      <c r="D287" s="7"/>
      <c r="E287" s="7"/>
      <c r="F287" s="7"/>
      <c r="G287" s="8"/>
      <c r="H287" s="8"/>
      <c r="I287" s="7"/>
      <c r="J287" s="8" t="str">
        <f t="array" ref="J287">IF(ISBLANK(K287)," ",_xlfn.XLOOKUP(F287,Edades!$A$2:$A$101,IF(I287="F",Edades!$B$2:$B$101,Edades!$C$2:$C$101)))</f>
        <v xml:space="preserve"> </v>
      </c>
      <c r="K287" s="8"/>
      <c r="L287" s="8"/>
      <c r="M287" s="13"/>
      <c r="N287" s="8"/>
      <c r="O287" s="8"/>
      <c r="P287" s="8"/>
      <c r="Q287" s="8"/>
      <c r="R287" s="8"/>
      <c r="S287" s="8"/>
      <c r="T287" s="7"/>
      <c r="U287" s="7"/>
      <c r="V287" s="7"/>
      <c r="W287" s="7"/>
      <c r="X287" s="7"/>
      <c r="Y287" s="7"/>
      <c r="Z287" s="7"/>
      <c r="AA287" s="7"/>
    </row>
    <row r="288" spans="1:27">
      <c r="A288" s="7"/>
      <c r="B288" s="7"/>
      <c r="C288" s="7"/>
      <c r="D288" s="7"/>
      <c r="E288" s="7"/>
      <c r="F288" s="7"/>
      <c r="G288" s="8"/>
      <c r="H288" s="8"/>
      <c r="I288" s="7"/>
      <c r="J288" s="8" t="str">
        <f t="array" ref="J288">IF(ISBLANK(K288)," ",_xlfn.XLOOKUP(F288,Edades!$A$2:$A$101,IF(I288="F",Edades!$B$2:$B$101,Edades!$C$2:$C$101)))</f>
        <v xml:space="preserve"> </v>
      </c>
      <c r="K288" s="8"/>
      <c r="L288" s="8"/>
      <c r="M288" s="13"/>
      <c r="N288" s="8"/>
      <c r="O288" s="8"/>
      <c r="P288" s="8"/>
      <c r="Q288" s="8"/>
      <c r="R288" s="8"/>
      <c r="S288" s="8"/>
      <c r="T288" s="7"/>
      <c r="U288" s="7"/>
      <c r="V288" s="7"/>
      <c r="W288" s="7"/>
      <c r="X288" s="7"/>
      <c r="Y288" s="7"/>
      <c r="Z288" s="7"/>
      <c r="AA288" s="7"/>
    </row>
    <row r="289" spans="1:27">
      <c r="A289" s="7"/>
      <c r="B289" s="7"/>
      <c r="C289" s="7"/>
      <c r="D289" s="7"/>
      <c r="E289" s="7"/>
      <c r="F289" s="7"/>
      <c r="G289" s="8"/>
      <c r="H289" s="8"/>
      <c r="I289" s="7"/>
      <c r="J289" s="8" t="str">
        <f t="array" ref="J289">IF(ISBLANK(K289)," ",_xlfn.XLOOKUP(F289,Edades!$A$2:$A$101,IF(I289="F",Edades!$B$2:$B$101,Edades!$C$2:$C$101)))</f>
        <v xml:space="preserve"> </v>
      </c>
      <c r="K289" s="8"/>
      <c r="L289" s="8"/>
      <c r="M289" s="13"/>
      <c r="N289" s="8"/>
      <c r="O289" s="8"/>
      <c r="P289" s="8"/>
      <c r="Q289" s="8"/>
      <c r="R289" s="8"/>
      <c r="S289" s="8"/>
      <c r="T289" s="7"/>
      <c r="U289" s="7"/>
      <c r="V289" s="7"/>
      <c r="W289" s="7"/>
      <c r="X289" s="7"/>
      <c r="Y289" s="7"/>
      <c r="Z289" s="7"/>
      <c r="AA289" s="7"/>
    </row>
    <row r="290" spans="1:27">
      <c r="A290" s="7"/>
      <c r="B290" s="7"/>
      <c r="C290" s="7"/>
      <c r="D290" s="7"/>
      <c r="E290" s="7"/>
      <c r="F290" s="7"/>
      <c r="G290" s="8"/>
      <c r="H290" s="8"/>
      <c r="I290" s="7"/>
      <c r="J290" s="8" t="str">
        <f t="array" ref="J290">IF(ISBLANK(K290)," ",_xlfn.XLOOKUP(F290,Edades!$A$2:$A$101,IF(I290="F",Edades!$B$2:$B$101,Edades!$C$2:$C$101)))</f>
        <v xml:space="preserve"> </v>
      </c>
      <c r="K290" s="8"/>
      <c r="L290" s="8"/>
      <c r="M290" s="13"/>
      <c r="N290" s="8"/>
      <c r="O290" s="8"/>
      <c r="P290" s="8"/>
      <c r="Q290" s="8"/>
      <c r="R290" s="8"/>
      <c r="S290" s="8"/>
      <c r="T290" s="7"/>
      <c r="U290" s="7"/>
      <c r="V290" s="7"/>
      <c r="W290" s="7"/>
      <c r="X290" s="7"/>
      <c r="Y290" s="7"/>
      <c r="Z290" s="7"/>
      <c r="AA290" s="7"/>
    </row>
    <row r="291" spans="1:27">
      <c r="A291" s="7"/>
      <c r="B291" s="7"/>
      <c r="C291" s="7"/>
      <c r="D291" s="7"/>
      <c r="E291" s="7"/>
      <c r="F291" s="7"/>
      <c r="G291" s="8"/>
      <c r="H291" s="8"/>
      <c r="I291" s="7"/>
      <c r="J291" s="8" t="str">
        <f t="array" ref="J291">IF(ISBLANK(K291)," ",_xlfn.XLOOKUP(F291,Edades!$A$2:$A$101,IF(I291="F",Edades!$B$2:$B$101,Edades!$C$2:$C$101)))</f>
        <v xml:space="preserve"> </v>
      </c>
      <c r="K291" s="8"/>
      <c r="L291" s="8"/>
      <c r="M291" s="13"/>
      <c r="N291" s="8"/>
      <c r="O291" s="8"/>
      <c r="P291" s="8"/>
      <c r="Q291" s="8"/>
      <c r="R291" s="8"/>
      <c r="S291" s="8"/>
      <c r="T291" s="7"/>
      <c r="U291" s="7"/>
      <c r="V291" s="7"/>
      <c r="W291" s="7"/>
      <c r="X291" s="7"/>
      <c r="Y291" s="7"/>
      <c r="Z291" s="7"/>
      <c r="AA291" s="7"/>
    </row>
    <row r="292" spans="1:27">
      <c r="A292" s="7"/>
      <c r="B292" s="7"/>
      <c r="C292" s="7"/>
      <c r="D292" s="7"/>
      <c r="E292" s="7"/>
      <c r="F292" s="7"/>
      <c r="G292" s="8"/>
      <c r="H292" s="8"/>
      <c r="I292" s="7"/>
      <c r="J292" s="8" t="str">
        <f t="array" ref="J292">IF(ISBLANK(K292)," ",_xlfn.XLOOKUP(F292,Edades!$A$2:$A$101,IF(I292="F",Edades!$B$2:$B$101,Edades!$C$2:$C$101)))</f>
        <v xml:space="preserve"> </v>
      </c>
      <c r="K292" s="8"/>
      <c r="L292" s="8"/>
      <c r="M292" s="13"/>
      <c r="N292" s="8"/>
      <c r="O292" s="8"/>
      <c r="P292" s="8"/>
      <c r="Q292" s="8"/>
      <c r="R292" s="8"/>
      <c r="S292" s="8"/>
      <c r="T292" s="7"/>
      <c r="U292" s="7"/>
      <c r="V292" s="7"/>
      <c r="W292" s="7"/>
      <c r="X292" s="7"/>
      <c r="Y292" s="7"/>
      <c r="Z292" s="7"/>
      <c r="AA292" s="7"/>
    </row>
    <row r="293" spans="1:27">
      <c r="A293" s="7"/>
      <c r="B293" s="7"/>
      <c r="C293" s="7"/>
      <c r="D293" s="7"/>
      <c r="E293" s="7"/>
      <c r="F293" s="7"/>
      <c r="G293" s="8"/>
      <c r="H293" s="8"/>
      <c r="I293" s="7"/>
      <c r="J293" s="8" t="str">
        <f t="array" ref="J293">IF(ISBLANK(K293)," ",_xlfn.XLOOKUP(F293,Edades!$A$2:$A$101,IF(I293="F",Edades!$B$2:$B$101,Edades!$C$2:$C$101)))</f>
        <v xml:space="preserve"> </v>
      </c>
      <c r="K293" s="8"/>
      <c r="L293" s="8"/>
      <c r="M293" s="13"/>
      <c r="N293" s="8"/>
      <c r="O293" s="8"/>
      <c r="P293" s="8"/>
      <c r="Q293" s="8"/>
      <c r="R293" s="8"/>
      <c r="S293" s="8"/>
      <c r="T293" s="7"/>
      <c r="U293" s="7"/>
      <c r="V293" s="7"/>
      <c r="W293" s="7"/>
      <c r="X293" s="7"/>
      <c r="Y293" s="7"/>
      <c r="Z293" s="7"/>
      <c r="AA293" s="7"/>
    </row>
    <row r="294" spans="1:27">
      <c r="A294" s="7"/>
      <c r="B294" s="7"/>
      <c r="C294" s="7"/>
      <c r="D294" s="7"/>
      <c r="E294" s="7"/>
      <c r="F294" s="7"/>
      <c r="G294" s="8"/>
      <c r="H294" s="8"/>
      <c r="I294" s="7"/>
      <c r="J294" s="8" t="str">
        <f t="array" ref="J294">IF(ISBLANK(K294)," ",_xlfn.XLOOKUP(F294,Edades!$A$2:$A$101,IF(I294="F",Edades!$B$2:$B$101,Edades!$C$2:$C$101)))</f>
        <v xml:space="preserve"> </v>
      </c>
      <c r="K294" s="8"/>
      <c r="L294" s="8"/>
      <c r="M294" s="13"/>
      <c r="N294" s="8"/>
      <c r="O294" s="8"/>
      <c r="P294" s="8"/>
      <c r="Q294" s="8"/>
      <c r="R294" s="8"/>
      <c r="S294" s="8"/>
      <c r="T294" s="7"/>
      <c r="U294" s="7"/>
      <c r="V294" s="7"/>
      <c r="W294" s="7"/>
      <c r="X294" s="7"/>
      <c r="Y294" s="7"/>
      <c r="Z294" s="7"/>
      <c r="AA294" s="7"/>
    </row>
    <row r="295" spans="1:27">
      <c r="A295" s="7"/>
      <c r="B295" s="7"/>
      <c r="C295" s="7"/>
      <c r="D295" s="7"/>
      <c r="E295" s="7"/>
      <c r="F295" s="7"/>
      <c r="G295" s="8"/>
      <c r="H295" s="8"/>
      <c r="I295" s="7"/>
      <c r="J295" s="8" t="str">
        <f t="array" ref="J295">IF(ISBLANK(K295)," ",_xlfn.XLOOKUP(F295,Edades!$A$2:$A$101,IF(I295="F",Edades!$B$2:$B$101,Edades!$C$2:$C$101)))</f>
        <v xml:space="preserve"> </v>
      </c>
      <c r="K295" s="8"/>
      <c r="L295" s="8"/>
      <c r="M295" s="13"/>
      <c r="N295" s="8"/>
      <c r="O295" s="8"/>
      <c r="P295" s="8"/>
      <c r="Q295" s="8"/>
      <c r="R295" s="8"/>
      <c r="S295" s="8"/>
      <c r="T295" s="7"/>
      <c r="U295" s="7"/>
      <c r="V295" s="7"/>
      <c r="W295" s="7"/>
      <c r="X295" s="7"/>
      <c r="Y295" s="7"/>
      <c r="Z295" s="7"/>
      <c r="AA295" s="7"/>
    </row>
    <row r="296" spans="1:27">
      <c r="A296" s="7"/>
      <c r="B296" s="7"/>
      <c r="C296" s="7"/>
      <c r="D296" s="7"/>
      <c r="E296" s="7"/>
      <c r="F296" s="7"/>
      <c r="G296" s="8"/>
      <c r="H296" s="8"/>
      <c r="I296" s="7"/>
      <c r="J296" s="8" t="str">
        <f t="array" ref="J296">IF(ISBLANK(K296)," ",_xlfn.XLOOKUP(F296,Edades!$A$2:$A$101,IF(I296="F",Edades!$B$2:$B$101,Edades!$C$2:$C$101)))</f>
        <v xml:space="preserve"> </v>
      </c>
      <c r="K296" s="8"/>
      <c r="L296" s="8"/>
      <c r="M296" s="13"/>
      <c r="N296" s="8"/>
      <c r="O296" s="8"/>
      <c r="P296" s="8"/>
      <c r="Q296" s="8"/>
      <c r="R296" s="8"/>
      <c r="S296" s="8"/>
      <c r="T296" s="7"/>
      <c r="U296" s="7"/>
      <c r="V296" s="7"/>
      <c r="W296" s="7"/>
      <c r="X296" s="7"/>
      <c r="Y296" s="7"/>
      <c r="Z296" s="7"/>
      <c r="AA296" s="7"/>
    </row>
    <row r="297" spans="1:27">
      <c r="A297" s="7"/>
      <c r="B297" s="7"/>
      <c r="C297" s="7"/>
      <c r="D297" s="7"/>
      <c r="E297" s="7"/>
      <c r="F297" s="7"/>
      <c r="G297" s="8"/>
      <c r="H297" s="8"/>
      <c r="I297" s="7"/>
      <c r="J297" s="8" t="str">
        <f t="array" ref="J297">IF(ISBLANK(K297)," ",_xlfn.XLOOKUP(F297,Edades!$A$2:$A$101,IF(I297="F",Edades!$B$2:$B$101,Edades!$C$2:$C$101)))</f>
        <v xml:space="preserve"> </v>
      </c>
      <c r="K297" s="8"/>
      <c r="L297" s="8"/>
      <c r="M297" s="13"/>
      <c r="N297" s="8"/>
      <c r="O297" s="8"/>
      <c r="P297" s="8"/>
      <c r="Q297" s="8"/>
      <c r="R297" s="8"/>
      <c r="S297" s="8"/>
      <c r="T297" s="7"/>
      <c r="U297" s="7"/>
      <c r="V297" s="7"/>
      <c r="W297" s="7"/>
      <c r="X297" s="7"/>
      <c r="Y297" s="7"/>
      <c r="Z297" s="7"/>
      <c r="AA297" s="7"/>
    </row>
    <row r="298" spans="1:27">
      <c r="A298" s="7"/>
      <c r="B298" s="7"/>
      <c r="C298" s="7"/>
      <c r="D298" s="7"/>
      <c r="E298" s="7"/>
      <c r="F298" s="7"/>
      <c r="G298" s="8"/>
      <c r="H298" s="8"/>
      <c r="I298" s="7"/>
      <c r="J298" s="8" t="str">
        <f t="array" ref="J298">IF(ISBLANK(K298)," ",_xlfn.XLOOKUP(F298,Edades!$A$2:$A$101,IF(I298="F",Edades!$B$2:$B$101,Edades!$C$2:$C$101)))</f>
        <v xml:space="preserve"> </v>
      </c>
      <c r="K298" s="8"/>
      <c r="L298" s="8"/>
      <c r="M298" s="13"/>
      <c r="N298" s="8"/>
      <c r="O298" s="8"/>
      <c r="P298" s="8"/>
      <c r="Q298" s="8"/>
      <c r="R298" s="8"/>
      <c r="S298" s="8"/>
      <c r="T298" s="7"/>
      <c r="U298" s="7"/>
      <c r="V298" s="7"/>
      <c r="W298" s="7"/>
      <c r="X298" s="7"/>
      <c r="Y298" s="7"/>
      <c r="Z298" s="7"/>
      <c r="AA298" s="7"/>
    </row>
    <row r="299" spans="1:27">
      <c r="A299" s="7"/>
      <c r="B299" s="7"/>
      <c r="C299" s="7"/>
      <c r="D299" s="7"/>
      <c r="E299" s="7"/>
      <c r="F299" s="7"/>
      <c r="G299" s="8"/>
      <c r="H299" s="8"/>
      <c r="I299" s="7"/>
      <c r="J299" s="8" t="str">
        <f t="array" ref="J299">IF(ISBLANK(K299)," ",_xlfn.XLOOKUP(F299,Edades!$A$2:$A$101,IF(I299="F",Edades!$B$2:$B$101,Edades!$C$2:$C$101)))</f>
        <v xml:space="preserve"> </v>
      </c>
      <c r="K299" s="8"/>
      <c r="L299" s="8"/>
      <c r="M299" s="13"/>
      <c r="N299" s="8"/>
      <c r="O299" s="8"/>
      <c r="P299" s="8"/>
      <c r="Q299" s="8"/>
      <c r="R299" s="8"/>
      <c r="S299" s="8"/>
      <c r="T299" s="7"/>
      <c r="U299" s="7"/>
      <c r="V299" s="7"/>
      <c r="W299" s="7"/>
      <c r="X299" s="7"/>
      <c r="Y299" s="7"/>
      <c r="Z299" s="7"/>
      <c r="AA299" s="7"/>
    </row>
    <row r="300" spans="1:27">
      <c r="A300" s="7"/>
      <c r="B300" s="7"/>
      <c r="C300" s="7"/>
      <c r="D300" s="7"/>
      <c r="E300" s="7"/>
      <c r="F300" s="7"/>
      <c r="G300" s="8"/>
      <c r="H300" s="8"/>
      <c r="I300" s="7"/>
      <c r="J300" s="8" t="str">
        <f t="array" ref="J300">IF(ISBLANK(K300)," ",_xlfn.XLOOKUP(F300,Edades!$A$2:$A$101,IF(I300="F",Edades!$B$2:$B$101,Edades!$C$2:$C$101)))</f>
        <v xml:space="preserve"> </v>
      </c>
      <c r="K300" s="8"/>
      <c r="L300" s="8"/>
      <c r="M300" s="13"/>
      <c r="N300" s="8"/>
      <c r="O300" s="8"/>
      <c r="P300" s="8"/>
      <c r="Q300" s="8"/>
      <c r="R300" s="8"/>
      <c r="S300" s="8"/>
      <c r="T300" s="7"/>
      <c r="U300" s="7"/>
      <c r="V300" s="7"/>
      <c r="W300" s="7"/>
      <c r="X300" s="7"/>
      <c r="Y300" s="7"/>
      <c r="Z300" s="7"/>
      <c r="AA300" s="7"/>
    </row>
    <row r="301" spans="1:27">
      <c r="A301" s="7"/>
      <c r="B301" s="7"/>
      <c r="C301" s="7"/>
      <c r="D301" s="7"/>
      <c r="E301" s="7"/>
      <c r="F301" s="7"/>
      <c r="G301" s="8"/>
      <c r="H301" s="8"/>
      <c r="I301" s="7"/>
      <c r="J301" s="8"/>
      <c r="K301" s="8"/>
      <c r="L301" s="8"/>
      <c r="M301" s="13"/>
      <c r="N301" s="8"/>
      <c r="O301" s="8"/>
      <c r="P301" s="8"/>
      <c r="Q301" s="8"/>
      <c r="R301" s="8"/>
      <c r="S301" s="8"/>
      <c r="T301" s="7"/>
      <c r="U301" s="7"/>
      <c r="V301" s="7"/>
      <c r="W301" s="7"/>
      <c r="X301" s="7"/>
      <c r="Y301" s="7"/>
      <c r="Z301" s="7"/>
      <c r="AA301" s="7"/>
    </row>
    <row r="302" spans="1:27">
      <c r="A302" s="7"/>
      <c r="B302" s="7"/>
      <c r="C302" s="7"/>
      <c r="D302" s="7"/>
      <c r="E302" s="7"/>
      <c r="F302" s="7"/>
      <c r="G302" s="8"/>
      <c r="H302" s="8"/>
      <c r="I302" s="7"/>
      <c r="J302" s="8"/>
      <c r="K302" s="8"/>
      <c r="L302" s="8"/>
      <c r="M302" s="13"/>
      <c r="N302" s="8"/>
      <c r="O302" s="8"/>
      <c r="P302" s="8"/>
      <c r="Q302" s="8"/>
      <c r="R302" s="8"/>
      <c r="S302" s="8"/>
      <c r="T302" s="7"/>
      <c r="U302" s="7"/>
      <c r="V302" s="7"/>
      <c r="W302" s="7"/>
      <c r="X302" s="7"/>
      <c r="Y302" s="7"/>
      <c r="Z302" s="7"/>
      <c r="AA302" s="7"/>
    </row>
    <row r="303" spans="1:27">
      <c r="A303" s="7"/>
      <c r="B303" s="7"/>
      <c r="C303" s="7"/>
      <c r="D303" s="7"/>
      <c r="E303" s="7"/>
      <c r="F303" s="7"/>
      <c r="G303" s="8"/>
      <c r="H303" s="8"/>
      <c r="I303" s="7"/>
      <c r="J303" s="8"/>
      <c r="K303" s="8"/>
      <c r="L303" s="8"/>
      <c r="M303" s="13"/>
      <c r="N303" s="8"/>
      <c r="O303" s="8"/>
      <c r="P303" s="8"/>
      <c r="Q303" s="8"/>
      <c r="R303" s="8"/>
      <c r="S303" s="8"/>
      <c r="T303" s="7"/>
      <c r="U303" s="7"/>
      <c r="V303" s="7"/>
      <c r="W303" s="7"/>
      <c r="X303" s="7"/>
      <c r="Y303" s="7"/>
      <c r="Z303" s="7"/>
      <c r="AA303" s="7"/>
    </row>
    <row r="304" spans="1:27">
      <c r="A304" s="7"/>
      <c r="B304" s="7"/>
      <c r="C304" s="7"/>
      <c r="D304" s="7"/>
      <c r="E304" s="7"/>
      <c r="F304" s="7"/>
      <c r="G304" s="8"/>
      <c r="H304" s="8"/>
      <c r="I304" s="7"/>
      <c r="J304" s="8"/>
      <c r="K304" s="8"/>
      <c r="L304" s="8"/>
      <c r="M304" s="13"/>
      <c r="N304" s="8"/>
      <c r="O304" s="8"/>
      <c r="P304" s="8"/>
      <c r="Q304" s="8"/>
      <c r="R304" s="8"/>
      <c r="S304" s="8"/>
      <c r="T304" s="7"/>
      <c r="U304" s="7"/>
      <c r="V304" s="7"/>
      <c r="W304" s="7"/>
      <c r="X304" s="7"/>
      <c r="Y304" s="7"/>
      <c r="Z304" s="7"/>
      <c r="AA304" s="7"/>
    </row>
    <row r="305" spans="1:27">
      <c r="A305" s="7"/>
      <c r="B305" s="7"/>
      <c r="C305" s="7"/>
      <c r="D305" s="7"/>
      <c r="E305" s="7"/>
      <c r="F305" s="7"/>
      <c r="G305" s="8"/>
      <c r="H305" s="8"/>
      <c r="I305" s="7"/>
      <c r="J305" s="8"/>
      <c r="K305" s="8"/>
      <c r="L305" s="8"/>
      <c r="M305" s="13"/>
      <c r="N305" s="8"/>
      <c r="O305" s="8"/>
      <c r="P305" s="8"/>
      <c r="Q305" s="8"/>
      <c r="R305" s="8"/>
      <c r="S305" s="8"/>
      <c r="T305" s="7"/>
      <c r="U305" s="7"/>
      <c r="V305" s="7"/>
      <c r="W305" s="7"/>
      <c r="X305" s="7"/>
      <c r="Y305" s="7"/>
      <c r="Z305" s="7"/>
      <c r="AA305" s="7"/>
    </row>
    <row r="306" spans="1:27">
      <c r="A306" s="7"/>
      <c r="B306" s="7"/>
      <c r="C306" s="7"/>
      <c r="D306" s="7"/>
      <c r="E306" s="7"/>
      <c r="F306" s="7"/>
      <c r="G306" s="8"/>
      <c r="H306" s="8"/>
      <c r="I306" s="7"/>
      <c r="J306" s="8"/>
      <c r="K306" s="8"/>
      <c r="L306" s="8"/>
      <c r="M306" s="13"/>
      <c r="N306" s="8"/>
      <c r="O306" s="8"/>
      <c r="P306" s="8"/>
      <c r="Q306" s="8"/>
      <c r="R306" s="8"/>
      <c r="S306" s="8"/>
      <c r="T306" s="7"/>
      <c r="U306" s="7"/>
      <c r="V306" s="7"/>
      <c r="W306" s="7"/>
      <c r="X306" s="7"/>
      <c r="Y306" s="7"/>
      <c r="Z306" s="7"/>
      <c r="AA306" s="7"/>
    </row>
    <row r="307" spans="1:27">
      <c r="A307" s="7"/>
      <c r="B307" s="7"/>
      <c r="C307" s="7"/>
      <c r="D307" s="7"/>
      <c r="E307" s="7"/>
      <c r="F307" s="7"/>
      <c r="G307" s="8"/>
      <c r="H307" s="8"/>
      <c r="I307" s="7"/>
      <c r="J307" s="8"/>
      <c r="K307" s="8"/>
      <c r="L307" s="8"/>
      <c r="M307" s="13"/>
      <c r="N307" s="8"/>
      <c r="O307" s="8"/>
      <c r="P307" s="8"/>
      <c r="Q307" s="8"/>
      <c r="R307" s="8"/>
      <c r="S307" s="8"/>
      <c r="T307" s="7"/>
      <c r="U307" s="7"/>
      <c r="V307" s="7"/>
      <c r="W307" s="7"/>
      <c r="X307" s="7"/>
      <c r="Y307" s="7"/>
      <c r="Z307" s="7"/>
      <c r="AA307" s="7"/>
    </row>
    <row r="308" spans="1:27">
      <c r="A308" s="7"/>
      <c r="B308" s="7"/>
      <c r="C308" s="7"/>
      <c r="D308" s="7"/>
      <c r="E308" s="7"/>
      <c r="F308" s="7"/>
      <c r="G308" s="8"/>
      <c r="H308" s="8"/>
      <c r="I308" s="7"/>
      <c r="J308" s="8"/>
      <c r="K308" s="8"/>
      <c r="L308" s="8"/>
      <c r="M308" s="13"/>
      <c r="N308" s="8"/>
      <c r="O308" s="8"/>
      <c r="P308" s="8"/>
      <c r="Q308" s="8"/>
      <c r="R308" s="8"/>
      <c r="S308" s="8"/>
      <c r="T308" s="7"/>
      <c r="U308" s="7"/>
      <c r="V308" s="7"/>
      <c r="W308" s="7"/>
      <c r="X308" s="7"/>
      <c r="Y308" s="7"/>
      <c r="Z308" s="7"/>
      <c r="AA308" s="7"/>
    </row>
    <row r="309" spans="1:27">
      <c r="G309" s="1"/>
      <c r="H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27">
      <c r="G310" s="1"/>
      <c r="H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27">
      <c r="G311" s="1"/>
      <c r="H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27">
      <c r="G312" s="1"/>
      <c r="H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27">
      <c r="G313" s="1"/>
      <c r="H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27">
      <c r="G314" s="1"/>
      <c r="H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27">
      <c r="G315" s="1"/>
      <c r="H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27">
      <c r="G316" s="1"/>
      <c r="H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27">
      <c r="G317" s="1"/>
      <c r="H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27">
      <c r="G318" s="1"/>
      <c r="H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27">
      <c r="G319" s="1"/>
      <c r="H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27">
      <c r="G320" s="1"/>
      <c r="H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7:19">
      <c r="G321" s="1"/>
      <c r="H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7:19">
      <c r="G322" s="1"/>
      <c r="H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7:19">
      <c r="G323" s="1"/>
      <c r="H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7:19">
      <c r="G324" s="1"/>
      <c r="H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7:19">
      <c r="G325" s="1"/>
      <c r="H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7:19">
      <c r="G326" s="1"/>
      <c r="H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7:19">
      <c r="G327" s="1"/>
      <c r="H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7:19">
      <c r="G328" s="1"/>
      <c r="H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7:19">
      <c r="G329" s="1"/>
      <c r="H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7:19">
      <c r="G330" s="1"/>
      <c r="H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7:19">
      <c r="G331" s="1"/>
      <c r="H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7:19">
      <c r="G332" s="1"/>
      <c r="H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7:19">
      <c r="G333" s="1"/>
      <c r="H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7:19">
      <c r="G334" s="1"/>
      <c r="H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7:19">
      <c r="G335" s="1"/>
      <c r="H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7:19">
      <c r="G336" s="1"/>
      <c r="H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7:19">
      <c r="G337" s="1"/>
      <c r="H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7:19">
      <c r="G338" s="1"/>
      <c r="H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7:19">
      <c r="G339" s="1"/>
      <c r="H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7:19">
      <c r="G340" s="1"/>
      <c r="H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7:19">
      <c r="G341" s="1"/>
      <c r="H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7:19">
      <c r="G342" s="1"/>
      <c r="H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7:19">
      <c r="G343" s="1"/>
      <c r="H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7:19">
      <c r="G344" s="1"/>
      <c r="H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7:19">
      <c r="G345" s="1"/>
      <c r="H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7:19">
      <c r="G346" s="1"/>
      <c r="H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7:19">
      <c r="G347" s="1"/>
      <c r="H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7:19">
      <c r="G348" s="1"/>
      <c r="H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7:19">
      <c r="G349" s="1"/>
      <c r="H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7:19">
      <c r="G350" s="1"/>
      <c r="H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7:19">
      <c r="G351" s="1"/>
      <c r="H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7:19">
      <c r="G352" s="1"/>
      <c r="H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7:19">
      <c r="G353" s="1"/>
      <c r="H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7:19">
      <c r="G354" s="1"/>
      <c r="H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7:19">
      <c r="G355" s="1"/>
      <c r="H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7:19">
      <c r="G356" s="1"/>
      <c r="H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7:19">
      <c r="G357" s="1"/>
      <c r="H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7:19">
      <c r="G358" s="1"/>
      <c r="H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7:19">
      <c r="G359" s="1"/>
      <c r="H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7:19">
      <c r="G360" s="1"/>
      <c r="H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7:19">
      <c r="G361" s="1"/>
      <c r="H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7:19">
      <c r="G362" s="1"/>
      <c r="H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7:19">
      <c r="G363" s="1"/>
      <c r="H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7:19">
      <c r="G364" s="1"/>
      <c r="H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7:19">
      <c r="G365" s="1"/>
      <c r="H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7:19">
      <c r="G366" s="1"/>
      <c r="H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7:19">
      <c r="G367" s="1"/>
      <c r="H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7:19">
      <c r="G368" s="1"/>
      <c r="H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7:19">
      <c r="G369" s="1"/>
      <c r="H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7:19">
      <c r="G370" s="1"/>
      <c r="H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7:19">
      <c r="G371" s="1"/>
      <c r="H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7:19">
      <c r="G372" s="1"/>
      <c r="H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7:19">
      <c r="G373" s="1"/>
      <c r="H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7:19">
      <c r="G374" s="1"/>
      <c r="H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7:19">
      <c r="G375" s="1"/>
      <c r="H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7:19">
      <c r="G376" s="1"/>
      <c r="H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7:19">
      <c r="G377" s="1"/>
      <c r="H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7:19">
      <c r="G378" s="1"/>
      <c r="H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7:19">
      <c r="G379" s="1"/>
      <c r="H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7:19">
      <c r="G380" s="1"/>
      <c r="H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7:19">
      <c r="G381" s="1"/>
      <c r="H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7:19">
      <c r="G382" s="1"/>
      <c r="H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7:19">
      <c r="G383" s="1"/>
      <c r="H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7:19">
      <c r="G384" s="1"/>
      <c r="H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7:19">
      <c r="G385" s="1"/>
      <c r="H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7:19">
      <c r="G386" s="1"/>
      <c r="H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7:19">
      <c r="G387" s="1"/>
      <c r="H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7:19">
      <c r="G388" s="1"/>
      <c r="H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7:19">
      <c r="G389" s="1"/>
      <c r="H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7:19">
      <c r="G390" s="1"/>
      <c r="H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7:19">
      <c r="G391" s="1"/>
      <c r="H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7:19">
      <c r="G392" s="1"/>
      <c r="H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7:19">
      <c r="G393" s="1"/>
      <c r="H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7:19">
      <c r="G394" s="1"/>
      <c r="H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7:19">
      <c r="G395" s="1"/>
      <c r="H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7:19">
      <c r="G396" s="1"/>
      <c r="H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7:19">
      <c r="G397" s="1"/>
      <c r="H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7:19">
      <c r="G398" s="1"/>
      <c r="H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7:19">
      <c r="G399" s="1"/>
      <c r="H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7:19">
      <c r="G400" s="1"/>
      <c r="H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7:19">
      <c r="G401" s="1"/>
      <c r="H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7:19">
      <c r="G402" s="1"/>
      <c r="H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7:19">
      <c r="G403" s="1"/>
      <c r="H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7:19">
      <c r="G404" s="1"/>
      <c r="H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7:19">
      <c r="G405" s="1"/>
      <c r="H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7:19">
      <c r="G406" s="1"/>
      <c r="H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7:19">
      <c r="G407" s="1"/>
      <c r="H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7:19">
      <c r="G408" s="1"/>
      <c r="H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7:19">
      <c r="G409" s="1"/>
      <c r="H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7:19">
      <c r="G410" s="1"/>
      <c r="H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7:19">
      <c r="G411" s="1"/>
      <c r="H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7:19">
      <c r="G412" s="1"/>
      <c r="H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7:19">
      <c r="G413" s="1"/>
      <c r="H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7:19">
      <c r="G414" s="1"/>
      <c r="H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7:19">
      <c r="G415" s="1"/>
      <c r="H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7:19">
      <c r="G416" s="1"/>
      <c r="H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7:19">
      <c r="G417" s="1"/>
      <c r="H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7:19">
      <c r="G418" s="1"/>
      <c r="H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7:19">
      <c r="G419" s="1"/>
      <c r="H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7:19">
      <c r="G420" s="1"/>
      <c r="H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7:19">
      <c r="G421" s="1"/>
      <c r="H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7:19">
      <c r="G422" s="1"/>
      <c r="H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7:19">
      <c r="G423" s="1"/>
      <c r="H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7:19">
      <c r="G424" s="1"/>
      <c r="H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7:19">
      <c r="G425" s="1"/>
      <c r="H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7:19">
      <c r="G426" s="1"/>
      <c r="H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7:19">
      <c r="G427" s="1"/>
      <c r="H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7:19">
      <c r="G428" s="1"/>
      <c r="H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7:19">
      <c r="G429" s="1"/>
      <c r="H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7:19">
      <c r="G430" s="1"/>
      <c r="H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7:19">
      <c r="G431" s="1"/>
      <c r="H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7:19">
      <c r="G432" s="1"/>
      <c r="H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7:19">
      <c r="G433" s="1"/>
      <c r="H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7:19">
      <c r="G434" s="1"/>
      <c r="H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7:19">
      <c r="G435" s="1"/>
      <c r="H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7:19">
      <c r="G436" s="1"/>
      <c r="H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7:19">
      <c r="G437" s="1"/>
      <c r="H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7:19">
      <c r="G438" s="1"/>
      <c r="H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7:19">
      <c r="G439" s="1"/>
      <c r="H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7:19">
      <c r="G440" s="1"/>
      <c r="H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7:19">
      <c r="G441" s="1"/>
      <c r="H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7:19">
      <c r="G442" s="1"/>
      <c r="H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7:19">
      <c r="G443" s="1"/>
      <c r="H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7:19">
      <c r="G444" s="1"/>
      <c r="H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7:19">
      <c r="G445" s="1"/>
      <c r="H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7:19">
      <c r="G446" s="1"/>
      <c r="H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7:19">
      <c r="G447" s="1"/>
      <c r="H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7:19">
      <c r="G448" s="1"/>
      <c r="H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7:19">
      <c r="G449" s="1"/>
      <c r="H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7:19">
      <c r="G450" s="1"/>
      <c r="H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7:19">
      <c r="G451" s="1"/>
      <c r="H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7:19">
      <c r="G452" s="1"/>
      <c r="H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7:19">
      <c r="G453" s="1"/>
      <c r="H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7:19">
      <c r="G454" s="1"/>
      <c r="H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7:19">
      <c r="G455" s="1"/>
      <c r="H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7:19">
      <c r="G456" s="1"/>
      <c r="H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7:19">
      <c r="G457" s="1"/>
      <c r="H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7:19">
      <c r="G458" s="1"/>
      <c r="H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7:19">
      <c r="G459" s="1"/>
      <c r="H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7:19">
      <c r="G460" s="1"/>
      <c r="H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7:19">
      <c r="G461" s="1"/>
      <c r="H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7:19">
      <c r="G462" s="1"/>
      <c r="H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7:19">
      <c r="G463" s="1"/>
      <c r="H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7:19">
      <c r="G464" s="1"/>
      <c r="H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7:19">
      <c r="G465" s="1"/>
      <c r="H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7:19">
      <c r="G466" s="1"/>
      <c r="H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7:19">
      <c r="G467" s="1"/>
      <c r="H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7:19">
      <c r="G468" s="1"/>
      <c r="H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7:19">
      <c r="G469" s="1"/>
      <c r="H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7:19">
      <c r="G470" s="1"/>
      <c r="H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7:19">
      <c r="G471" s="1"/>
      <c r="H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7:19">
      <c r="G472" s="1"/>
      <c r="H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7:19">
      <c r="G473" s="1"/>
      <c r="H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7:19">
      <c r="G474" s="1"/>
      <c r="H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7:19">
      <c r="G475" s="1"/>
      <c r="H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7:19">
      <c r="G476" s="1"/>
      <c r="H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7:19">
      <c r="G477" s="1"/>
      <c r="H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7:19">
      <c r="G478" s="1"/>
      <c r="H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7:19">
      <c r="G479" s="1"/>
      <c r="H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7:19">
      <c r="G480" s="1"/>
      <c r="H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7:19">
      <c r="G481" s="1"/>
      <c r="H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7:19">
      <c r="G482" s="1"/>
      <c r="H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7:19">
      <c r="G483" s="1"/>
      <c r="H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7:19">
      <c r="G484" s="1"/>
      <c r="H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7:19">
      <c r="G485" s="1"/>
      <c r="H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7:19">
      <c r="G486" s="1"/>
      <c r="H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7:19">
      <c r="G487" s="1"/>
      <c r="H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7:19">
      <c r="G488" s="1"/>
      <c r="H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7:19">
      <c r="G489" s="1"/>
      <c r="H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7:19">
      <c r="G490" s="1"/>
      <c r="H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7:19">
      <c r="G491" s="1"/>
      <c r="H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7:19">
      <c r="G492" s="1"/>
      <c r="H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7:19">
      <c r="G493" s="1"/>
      <c r="H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7:19">
      <c r="G494" s="1"/>
      <c r="H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7:19">
      <c r="G495" s="1"/>
      <c r="H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7:19">
      <c r="G496" s="1"/>
      <c r="H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7:19">
      <c r="G497" s="1"/>
      <c r="H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7:19">
      <c r="G498" s="1"/>
      <c r="H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7:19">
      <c r="G499" s="1"/>
      <c r="H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7:19">
      <c r="G500" s="1"/>
      <c r="H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7:19">
      <c r="G501" s="1"/>
      <c r="H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7:19">
      <c r="G502" s="1"/>
      <c r="H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7:19">
      <c r="G503" s="1"/>
      <c r="H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7:19">
      <c r="G504" s="1"/>
      <c r="H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7:19">
      <c r="G505" s="1"/>
      <c r="H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7:19">
      <c r="G506" s="1"/>
      <c r="H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7:19">
      <c r="G507" s="1"/>
      <c r="H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7:19">
      <c r="G508" s="1"/>
      <c r="H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7:19">
      <c r="G509" s="1"/>
      <c r="H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7:19">
      <c r="G510" s="1"/>
      <c r="H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7:19">
      <c r="G511" s="1"/>
      <c r="H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7:19">
      <c r="G512" s="1"/>
      <c r="H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7:19">
      <c r="G513" s="1"/>
      <c r="H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7:19">
      <c r="G514" s="1"/>
      <c r="H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7:19">
      <c r="G515" s="1"/>
      <c r="H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7:19">
      <c r="G516" s="1"/>
      <c r="H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7:19">
      <c r="G517" s="1"/>
      <c r="H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7:19">
      <c r="G518" s="1"/>
      <c r="H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7:19">
      <c r="G519" s="1"/>
      <c r="H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7:19">
      <c r="G520" s="1"/>
      <c r="H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7:19">
      <c r="G521" s="1"/>
      <c r="H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7:19">
      <c r="G522" s="1"/>
      <c r="H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7:19">
      <c r="G523" s="1"/>
      <c r="H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7:19">
      <c r="G524" s="1"/>
      <c r="H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7:19">
      <c r="G525" s="1"/>
      <c r="H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7:19">
      <c r="G526" s="1"/>
      <c r="H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7:19">
      <c r="G527" s="1"/>
      <c r="H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7:19">
      <c r="G528" s="1"/>
      <c r="H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7:19">
      <c r="G529" s="1"/>
      <c r="H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7:19">
      <c r="G530" s="1"/>
      <c r="H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7:19">
      <c r="G531" s="1"/>
      <c r="H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7:19">
      <c r="G532" s="1"/>
      <c r="H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7:19">
      <c r="G533" s="1"/>
      <c r="H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7:19">
      <c r="G534" s="1"/>
      <c r="H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7:19">
      <c r="G535" s="1"/>
      <c r="H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7:19">
      <c r="G536" s="1"/>
      <c r="H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7:19">
      <c r="G537" s="1"/>
      <c r="H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7:19">
      <c r="G538" s="1"/>
      <c r="H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7:19">
      <c r="G539" s="1"/>
      <c r="H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7:19">
      <c r="G540" s="1"/>
      <c r="H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7:19">
      <c r="G541" s="1"/>
      <c r="H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7:19">
      <c r="G542" s="1"/>
      <c r="H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7:19">
      <c r="G543" s="1"/>
      <c r="H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7:19">
      <c r="G544" s="1"/>
      <c r="H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7:19">
      <c r="G545" s="1"/>
      <c r="H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7:19">
      <c r="G546" s="1"/>
      <c r="H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7:19">
      <c r="G547" s="1"/>
      <c r="H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7:19">
      <c r="G548" s="1"/>
      <c r="H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7:19">
      <c r="G549" s="1"/>
      <c r="H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7:19">
      <c r="G550" s="1"/>
      <c r="H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7:19">
      <c r="G551" s="1"/>
      <c r="H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7:19">
      <c r="G552" s="1"/>
      <c r="H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7:19">
      <c r="G553" s="1"/>
      <c r="H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7:19">
      <c r="G554" s="1"/>
      <c r="H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7:19">
      <c r="G555" s="1"/>
      <c r="H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7:19">
      <c r="G556" s="1"/>
      <c r="H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7:19">
      <c r="G557" s="1"/>
      <c r="H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7:19">
      <c r="G558" s="1"/>
      <c r="H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7:19">
      <c r="G559" s="1"/>
      <c r="H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7:19">
      <c r="G560" s="1"/>
      <c r="H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7:19">
      <c r="G561" s="1"/>
      <c r="H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7:19">
      <c r="G562" s="1"/>
      <c r="H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7:19">
      <c r="G563" s="1"/>
      <c r="H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7:19">
      <c r="G564" s="1"/>
      <c r="H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7:19">
      <c r="G565" s="1"/>
      <c r="H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7:19">
      <c r="G566" s="1"/>
      <c r="H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7:19">
      <c r="G567" s="1"/>
      <c r="H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7:19">
      <c r="G568" s="1"/>
      <c r="H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7:19">
      <c r="G569" s="1"/>
      <c r="H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7:19">
      <c r="G570" s="1"/>
      <c r="H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7:19">
      <c r="G571" s="1"/>
      <c r="H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7:19">
      <c r="G572" s="1"/>
      <c r="H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7:19">
      <c r="G573" s="1"/>
      <c r="H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7:19">
      <c r="G574" s="1"/>
      <c r="H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7:19">
      <c r="G575" s="1"/>
      <c r="H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7:19">
      <c r="G576" s="1"/>
      <c r="H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7:19">
      <c r="G577" s="1"/>
      <c r="H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7:19">
      <c r="G578" s="1"/>
      <c r="H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7:19">
      <c r="G579" s="1"/>
      <c r="H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7:19">
      <c r="G580" s="1"/>
      <c r="H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7:19">
      <c r="G581" s="1"/>
      <c r="H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7:19">
      <c r="G582" s="1"/>
      <c r="H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7:19">
      <c r="G583" s="1"/>
      <c r="H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7:19">
      <c r="G584" s="1"/>
      <c r="H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7:19">
      <c r="G585" s="1"/>
      <c r="H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7:19">
      <c r="G586" s="1"/>
      <c r="H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7:19">
      <c r="G587" s="1"/>
      <c r="H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7:19">
      <c r="G588" s="1"/>
      <c r="H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7:19">
      <c r="G589" s="1"/>
      <c r="H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7:19">
      <c r="G590" s="1"/>
      <c r="H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7:19">
      <c r="G591" s="1"/>
      <c r="H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7:19">
      <c r="G592" s="1"/>
      <c r="H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7:19">
      <c r="G593" s="1"/>
      <c r="H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7:19">
      <c r="G594" s="1"/>
      <c r="H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7:19">
      <c r="G595" s="1"/>
      <c r="H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7:19">
      <c r="G596" s="1"/>
      <c r="H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7:19">
      <c r="G597" s="1"/>
      <c r="H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7:19">
      <c r="G598" s="1"/>
      <c r="H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7:19">
      <c r="G599" s="1"/>
      <c r="H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7:19">
      <c r="G600" s="1"/>
      <c r="H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7:19">
      <c r="G601" s="1"/>
      <c r="H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7:19">
      <c r="G602" s="1"/>
      <c r="H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7:19">
      <c r="G603" s="1"/>
      <c r="H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7:19">
      <c r="G604" s="1"/>
      <c r="H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7:19">
      <c r="G605" s="1"/>
      <c r="H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7:19">
      <c r="G606" s="1"/>
      <c r="H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7:19">
      <c r="G607" s="1"/>
      <c r="H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7:19">
      <c r="G608" s="1"/>
      <c r="H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7:19">
      <c r="G609" s="1"/>
      <c r="H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7:19">
      <c r="G610" s="1"/>
      <c r="H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7:19">
      <c r="G611" s="1"/>
      <c r="H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7:19">
      <c r="G612" s="1"/>
      <c r="H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7:19">
      <c r="G613" s="1"/>
      <c r="H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7:19">
      <c r="G614" s="1"/>
      <c r="H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7:19">
      <c r="G615" s="1"/>
      <c r="H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7:19">
      <c r="G616" s="1"/>
      <c r="H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7:19">
      <c r="G617" s="1"/>
      <c r="H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7:19">
      <c r="G618" s="1"/>
      <c r="H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7:19">
      <c r="G619" s="1"/>
      <c r="H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7:19">
      <c r="G620" s="1"/>
      <c r="H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7:19">
      <c r="G621" s="1"/>
      <c r="H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7:19">
      <c r="G622" s="1"/>
      <c r="H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7:19">
      <c r="G623" s="1"/>
      <c r="H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7:19">
      <c r="G624" s="1"/>
      <c r="H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7:19">
      <c r="G625" s="1"/>
      <c r="H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7:19">
      <c r="G626" s="1"/>
      <c r="H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7:19">
      <c r="G627" s="1"/>
      <c r="H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7:19">
      <c r="G628" s="1"/>
      <c r="H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7:19">
      <c r="G629" s="1"/>
      <c r="H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7:19">
      <c r="G630" s="1"/>
      <c r="H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7:19">
      <c r="G631" s="1"/>
      <c r="H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7:19">
      <c r="G632" s="1"/>
      <c r="H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7:19">
      <c r="G633" s="1"/>
      <c r="H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7:19">
      <c r="G634" s="1"/>
      <c r="H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7:19">
      <c r="G635" s="1"/>
      <c r="H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7:19">
      <c r="G636" s="1"/>
      <c r="H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7:19">
      <c r="G637" s="1"/>
      <c r="H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7:19">
      <c r="G638" s="1"/>
      <c r="H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7:19">
      <c r="G639" s="1"/>
      <c r="H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7:19">
      <c r="G640" s="1"/>
      <c r="H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7:19">
      <c r="G641" s="1"/>
      <c r="H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7:19">
      <c r="G642" s="1"/>
      <c r="H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7:19">
      <c r="G643" s="1"/>
      <c r="H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7:19">
      <c r="G644" s="1"/>
      <c r="H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7:19">
      <c r="G645" s="1"/>
      <c r="H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7:19">
      <c r="G646" s="1"/>
      <c r="H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7:19">
      <c r="G647" s="1"/>
      <c r="H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7:19">
      <c r="G648" s="1"/>
      <c r="H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7:19">
      <c r="G649" s="1"/>
      <c r="H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7:19">
      <c r="G650" s="1"/>
      <c r="H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7:19">
      <c r="G651" s="1"/>
      <c r="H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7:19">
      <c r="G652" s="1"/>
      <c r="H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7:19">
      <c r="G653" s="1"/>
      <c r="H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7:19">
      <c r="G654" s="1"/>
      <c r="H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7:19">
      <c r="G655" s="1"/>
      <c r="H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7:19">
      <c r="G656" s="1"/>
      <c r="H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7:19">
      <c r="G657" s="1"/>
      <c r="H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7:19">
      <c r="G658" s="1"/>
      <c r="H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7:19">
      <c r="G659" s="1"/>
      <c r="H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7:19">
      <c r="G660" s="1"/>
      <c r="H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7:19">
      <c r="G661" s="1"/>
      <c r="H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7:19">
      <c r="G662" s="1"/>
      <c r="H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7:19">
      <c r="G663" s="1"/>
      <c r="H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7:19">
      <c r="G664" s="1"/>
      <c r="H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7:19">
      <c r="G665" s="1"/>
      <c r="H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7:19">
      <c r="G666" s="1"/>
      <c r="H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7:19">
      <c r="G667" s="1"/>
      <c r="H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7:19">
      <c r="G668" s="1"/>
      <c r="H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7:19">
      <c r="G669" s="1"/>
      <c r="H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7:19">
      <c r="G670" s="1"/>
      <c r="H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7:19">
      <c r="G671" s="1"/>
      <c r="H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7:19">
      <c r="G672" s="1"/>
      <c r="H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7:19">
      <c r="G673" s="1"/>
      <c r="H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7:19">
      <c r="G674" s="1"/>
      <c r="H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7:19">
      <c r="G675" s="1"/>
      <c r="H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7:19">
      <c r="G676" s="1"/>
      <c r="H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7:19">
      <c r="G677" s="1"/>
      <c r="H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7:19">
      <c r="G678" s="1"/>
      <c r="H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7:19">
      <c r="G679" s="1"/>
      <c r="H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7:19">
      <c r="G680" s="1"/>
      <c r="H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7:19">
      <c r="G681" s="1"/>
      <c r="H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7:19">
      <c r="G682" s="1"/>
      <c r="H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7:19">
      <c r="G683" s="1"/>
      <c r="H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7:19">
      <c r="G684" s="1"/>
      <c r="H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7:19">
      <c r="G685" s="1"/>
      <c r="H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7:19">
      <c r="G686" s="1"/>
      <c r="H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7:19">
      <c r="G687" s="1"/>
      <c r="H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7:19">
      <c r="G688" s="1"/>
      <c r="H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7:19">
      <c r="G689" s="1"/>
      <c r="H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7:19">
      <c r="G690" s="1"/>
      <c r="H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7:19">
      <c r="G691" s="1"/>
      <c r="H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7:19">
      <c r="G692" s="1"/>
      <c r="H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7:19">
      <c r="G693" s="1"/>
      <c r="H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7:19">
      <c r="G694" s="1"/>
      <c r="H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7:19">
      <c r="G695" s="1"/>
      <c r="H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7:19">
      <c r="G696" s="1"/>
      <c r="H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7:19">
      <c r="G697" s="1"/>
      <c r="H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7:19">
      <c r="G698" s="1"/>
      <c r="H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7:19">
      <c r="G699" s="1"/>
      <c r="H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7:19">
      <c r="G700" s="1"/>
      <c r="H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7:19">
      <c r="G701" s="1"/>
      <c r="H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7:19">
      <c r="G702" s="1"/>
      <c r="H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7:19">
      <c r="G703" s="1"/>
      <c r="H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7:19">
      <c r="G704" s="1"/>
      <c r="H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7:19">
      <c r="G705" s="1"/>
      <c r="H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7:19">
      <c r="G706" s="1"/>
      <c r="H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7:19">
      <c r="G707" s="1"/>
      <c r="H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7:19">
      <c r="G708" s="1"/>
      <c r="H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7:19">
      <c r="G709" s="1"/>
      <c r="H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7:19">
      <c r="G710" s="1"/>
      <c r="H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7:19">
      <c r="G711" s="1"/>
      <c r="H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7:19">
      <c r="G712" s="1"/>
      <c r="H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7:19">
      <c r="G713" s="1"/>
      <c r="H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7:19">
      <c r="G714" s="1"/>
      <c r="H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7:19">
      <c r="G715" s="1"/>
      <c r="H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7:19">
      <c r="G716" s="1"/>
      <c r="H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7:19">
      <c r="G717" s="1"/>
      <c r="H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7:19">
      <c r="G718" s="1"/>
      <c r="H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7:19">
      <c r="G719" s="1"/>
      <c r="H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7:19">
      <c r="G720" s="1"/>
      <c r="H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7:19">
      <c r="G721" s="1"/>
      <c r="H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7:19">
      <c r="G722" s="1"/>
      <c r="H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7:19">
      <c r="G723" s="1"/>
      <c r="H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7:19">
      <c r="G724" s="1"/>
      <c r="H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7:19">
      <c r="G725" s="1"/>
      <c r="H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7:19">
      <c r="G726" s="1"/>
      <c r="H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7:19">
      <c r="G727" s="1"/>
      <c r="H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7:19">
      <c r="G728" s="1"/>
      <c r="H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7:19">
      <c r="G729" s="1"/>
      <c r="H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7:19">
      <c r="G730" s="1"/>
      <c r="H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7:19">
      <c r="G731" s="1"/>
      <c r="H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7:19">
      <c r="G732" s="1"/>
      <c r="H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7:19">
      <c r="G733" s="1"/>
      <c r="H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7:19">
      <c r="G734" s="1"/>
      <c r="H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7:19">
      <c r="G735" s="1"/>
      <c r="H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7:19">
      <c r="G736" s="1"/>
      <c r="H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7:19">
      <c r="G737" s="1"/>
      <c r="H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7:19">
      <c r="G738" s="1"/>
      <c r="H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7:19">
      <c r="G739" s="1"/>
      <c r="H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7:19">
      <c r="G740" s="1"/>
      <c r="H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7:19">
      <c r="G741" s="1"/>
      <c r="H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7:19">
      <c r="G742" s="1"/>
      <c r="H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7:19">
      <c r="G743" s="1"/>
      <c r="H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7:19">
      <c r="G744" s="1"/>
      <c r="H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7:19">
      <c r="G745" s="1"/>
      <c r="H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7:19">
      <c r="G746" s="1"/>
      <c r="H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7:19">
      <c r="G747" s="1"/>
      <c r="H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7:19">
      <c r="G748" s="1"/>
      <c r="H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7:19">
      <c r="G749" s="1"/>
      <c r="H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7:19">
      <c r="G750" s="1"/>
      <c r="H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7:19">
      <c r="G751" s="1"/>
      <c r="H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7:19">
      <c r="G752" s="1"/>
      <c r="H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7:19">
      <c r="G753" s="1"/>
      <c r="H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7:19">
      <c r="G754" s="1"/>
      <c r="H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7:19">
      <c r="G755" s="1"/>
      <c r="H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7:19">
      <c r="G756" s="1"/>
      <c r="H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7:19">
      <c r="G757" s="1"/>
      <c r="H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7:19">
      <c r="G758" s="1"/>
      <c r="H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7:19">
      <c r="G759" s="1"/>
      <c r="H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7:19">
      <c r="G760" s="1"/>
      <c r="H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7:19">
      <c r="G761" s="1"/>
      <c r="H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7:19">
      <c r="G762" s="1"/>
      <c r="H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7:19">
      <c r="G763" s="1"/>
      <c r="H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7:19">
      <c r="G764" s="1"/>
      <c r="H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7:19">
      <c r="G765" s="1"/>
      <c r="H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7:19">
      <c r="G766" s="1"/>
      <c r="H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7:19">
      <c r="G767" s="1"/>
      <c r="H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7:19">
      <c r="G768" s="1"/>
      <c r="H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7:19">
      <c r="G769" s="1"/>
      <c r="H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7:19">
      <c r="G770" s="1"/>
      <c r="H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7:19">
      <c r="G771" s="1"/>
      <c r="H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7:19">
      <c r="G772" s="1"/>
      <c r="H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7:19">
      <c r="G773" s="1"/>
      <c r="H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7:19">
      <c r="G774" s="1"/>
      <c r="H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7:19">
      <c r="G775" s="1"/>
      <c r="H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7:19">
      <c r="G776" s="1"/>
      <c r="H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7:19">
      <c r="G777" s="1"/>
      <c r="H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7:19">
      <c r="G778" s="1"/>
      <c r="H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7:19">
      <c r="G779" s="1"/>
      <c r="H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7:19">
      <c r="G780" s="1"/>
      <c r="H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7:19">
      <c r="G781" s="1"/>
      <c r="H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7:19">
      <c r="G782" s="1"/>
      <c r="H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7:19">
      <c r="G783" s="1"/>
      <c r="H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7:19">
      <c r="G784" s="1"/>
      <c r="H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7:19">
      <c r="G785" s="1"/>
      <c r="H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7:19">
      <c r="G786" s="1"/>
      <c r="H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7:19">
      <c r="G787" s="1"/>
      <c r="H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7:19">
      <c r="G788" s="1"/>
      <c r="H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7:19">
      <c r="G789" s="1"/>
      <c r="H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7:19">
      <c r="G790" s="1"/>
      <c r="H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7:19">
      <c r="G791" s="1"/>
      <c r="H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7:19">
      <c r="G792" s="1"/>
      <c r="H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7:19">
      <c r="G793" s="1"/>
      <c r="H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7:19">
      <c r="G794" s="1"/>
      <c r="H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7:19">
      <c r="G795" s="1"/>
      <c r="H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7:19">
      <c r="G796" s="1"/>
      <c r="H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7:19">
      <c r="G797" s="1"/>
      <c r="H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7:19">
      <c r="G798" s="1"/>
      <c r="H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7:19">
      <c r="G799" s="1"/>
      <c r="H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7:19">
      <c r="G800" s="1"/>
      <c r="H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7:19">
      <c r="G801" s="1"/>
      <c r="H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7:19">
      <c r="G802" s="1"/>
      <c r="H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7:19">
      <c r="G803" s="1"/>
      <c r="H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7:19">
      <c r="G804" s="1"/>
      <c r="H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7:19">
      <c r="G805" s="1"/>
      <c r="H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7:19">
      <c r="G806" s="1"/>
      <c r="H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7:19">
      <c r="G807" s="1"/>
      <c r="H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7:19">
      <c r="G808" s="1"/>
      <c r="H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7:19">
      <c r="G809" s="1"/>
      <c r="H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7:19">
      <c r="G810" s="1"/>
      <c r="H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7:19">
      <c r="G811" s="1"/>
      <c r="H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7:19">
      <c r="G812" s="1"/>
      <c r="H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7:19">
      <c r="G813" s="1"/>
      <c r="H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7:19">
      <c r="G814" s="1"/>
      <c r="H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7:19">
      <c r="G815" s="1"/>
      <c r="H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7:19">
      <c r="G816" s="1"/>
      <c r="H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7:19">
      <c r="G817" s="1"/>
      <c r="H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7:19">
      <c r="G818" s="1"/>
      <c r="H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7:19">
      <c r="G819" s="1"/>
      <c r="H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7:19">
      <c r="G820" s="1"/>
      <c r="H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7:19">
      <c r="G821" s="1"/>
      <c r="H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7:19">
      <c r="G822" s="1"/>
      <c r="H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7:19">
      <c r="G823" s="1"/>
      <c r="H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7:19">
      <c r="G824" s="1"/>
      <c r="H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7:19">
      <c r="G825" s="1"/>
      <c r="H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7:19">
      <c r="G826" s="1"/>
      <c r="H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7:19">
      <c r="G827" s="1"/>
      <c r="H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7:19">
      <c r="G828" s="1"/>
      <c r="H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7:19">
      <c r="G829" s="1"/>
      <c r="H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7:19">
      <c r="G830" s="1"/>
      <c r="H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7:19">
      <c r="G831" s="1"/>
      <c r="H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7:19">
      <c r="G832" s="1"/>
      <c r="H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7:19">
      <c r="G833" s="1"/>
      <c r="H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7:19">
      <c r="G834" s="1"/>
      <c r="H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7:19">
      <c r="G835" s="1"/>
      <c r="H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7:19">
      <c r="G836" s="1"/>
      <c r="H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7:19">
      <c r="G837" s="1"/>
      <c r="H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7:19">
      <c r="G838" s="1"/>
      <c r="H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7:19">
      <c r="G839" s="1"/>
      <c r="H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7:19">
      <c r="G840" s="1"/>
      <c r="H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7:19">
      <c r="G841" s="1"/>
      <c r="H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7:19">
      <c r="G842" s="1"/>
      <c r="H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7:19">
      <c r="G843" s="1"/>
      <c r="H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7:19">
      <c r="G844" s="1"/>
      <c r="H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7:19">
      <c r="G845" s="1"/>
      <c r="H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7:19">
      <c r="G846" s="1"/>
      <c r="H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7:19">
      <c r="G847" s="1"/>
      <c r="H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7:19">
      <c r="G848" s="1"/>
      <c r="H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7:19">
      <c r="G849" s="1"/>
      <c r="H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7:19">
      <c r="G850" s="1"/>
      <c r="H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7:19">
      <c r="G851" s="1"/>
      <c r="H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7:19">
      <c r="G852" s="1"/>
      <c r="H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7:19">
      <c r="G853" s="1"/>
      <c r="H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7:19">
      <c r="G854" s="1"/>
      <c r="H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7:19">
      <c r="G855" s="1"/>
      <c r="H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7:19">
      <c r="G856" s="1"/>
      <c r="H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7:19">
      <c r="G857" s="1"/>
      <c r="H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7:19">
      <c r="G858" s="1"/>
      <c r="H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7:19">
      <c r="G859" s="1"/>
      <c r="H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7:19">
      <c r="G860" s="1"/>
      <c r="H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7:19">
      <c r="G861" s="1"/>
      <c r="H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7:19">
      <c r="G862" s="1"/>
      <c r="H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7:19">
      <c r="G863" s="1"/>
      <c r="H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7:19">
      <c r="G864" s="1"/>
      <c r="H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7:19">
      <c r="G865" s="1"/>
      <c r="H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7:19">
      <c r="G866" s="1"/>
      <c r="H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7:19">
      <c r="G867" s="1"/>
      <c r="H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7:19">
      <c r="G868" s="1"/>
      <c r="H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7:19">
      <c r="G869" s="1"/>
      <c r="H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7:19">
      <c r="G870" s="1"/>
      <c r="H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7:19">
      <c r="G871" s="1"/>
      <c r="H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7:19">
      <c r="G872" s="1"/>
      <c r="H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7:19">
      <c r="G873" s="1"/>
      <c r="H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7:19">
      <c r="G874" s="1"/>
      <c r="H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7:19">
      <c r="G875" s="1"/>
      <c r="H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7:19">
      <c r="G876" s="1"/>
      <c r="H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7:19">
      <c r="G877" s="1"/>
      <c r="H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7:19">
      <c r="G878" s="1"/>
      <c r="H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7:19">
      <c r="G879" s="1"/>
      <c r="H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7:19">
      <c r="G880" s="1"/>
      <c r="H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7:19">
      <c r="G881" s="1"/>
      <c r="H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7:19">
      <c r="G882" s="1"/>
      <c r="H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7:19">
      <c r="G883" s="1"/>
      <c r="H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7:19">
      <c r="G884" s="1"/>
      <c r="H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7:19">
      <c r="G885" s="1"/>
      <c r="H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7:19">
      <c r="G886" s="1"/>
      <c r="H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7:19">
      <c r="G887" s="1"/>
      <c r="H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7:19">
      <c r="G888" s="1"/>
      <c r="H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7:19">
      <c r="G889" s="1"/>
      <c r="H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7:19">
      <c r="G890" s="1"/>
      <c r="H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7:19">
      <c r="G891" s="1"/>
      <c r="H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7:19">
      <c r="G892" s="1"/>
      <c r="H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7:19">
      <c r="G893" s="1"/>
      <c r="H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7:19">
      <c r="G894" s="1"/>
      <c r="H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7:19">
      <c r="G895" s="1"/>
      <c r="H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7:19">
      <c r="G896" s="1"/>
      <c r="H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7:19">
      <c r="G897" s="1"/>
      <c r="H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7:19">
      <c r="G898" s="1"/>
      <c r="H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7:19">
      <c r="G899" s="1"/>
      <c r="H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7:19">
      <c r="G900" s="1"/>
      <c r="H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7:19">
      <c r="G901" s="1"/>
      <c r="H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7:19">
      <c r="G902" s="1"/>
      <c r="H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7:19">
      <c r="G903" s="1"/>
      <c r="H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7:19">
      <c r="G904" s="1"/>
      <c r="H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7:19">
      <c r="G905" s="1"/>
      <c r="H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7:19">
      <c r="G906" s="1"/>
      <c r="H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7:19">
      <c r="G907" s="1"/>
      <c r="H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7:19">
      <c r="G908" s="1"/>
      <c r="H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7:19">
      <c r="G909" s="1"/>
      <c r="H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7:19">
      <c r="G910" s="1"/>
      <c r="H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7:19">
      <c r="G911" s="1"/>
      <c r="H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7:19">
      <c r="G912" s="1"/>
      <c r="H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7:19">
      <c r="G913" s="1"/>
      <c r="H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7:19">
      <c r="G914" s="1"/>
      <c r="H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7:19">
      <c r="G915" s="1"/>
      <c r="H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7:19">
      <c r="G916" s="1"/>
      <c r="H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7:19">
      <c r="G917" s="1"/>
      <c r="H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7:19">
      <c r="G918" s="1"/>
      <c r="H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7:19">
      <c r="G919" s="1"/>
      <c r="H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7:19">
      <c r="G920" s="1"/>
      <c r="H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7:19">
      <c r="G921" s="1"/>
      <c r="H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7:19">
      <c r="G922" s="1"/>
      <c r="H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7:19">
      <c r="G923" s="1"/>
      <c r="H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7:19">
      <c r="G924" s="1"/>
      <c r="H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7:19">
      <c r="G925" s="1"/>
      <c r="H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7:19">
      <c r="G926" s="1"/>
      <c r="H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7:19">
      <c r="G927" s="1"/>
      <c r="H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7:19">
      <c r="G928" s="1"/>
      <c r="H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7:19">
      <c r="G929" s="1"/>
      <c r="H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7:19">
      <c r="G930" s="1"/>
      <c r="H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7:19">
      <c r="G931" s="1"/>
      <c r="H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7:19">
      <c r="G932" s="1"/>
      <c r="H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7:19">
      <c r="G933" s="1"/>
      <c r="H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7:19">
      <c r="G934" s="1"/>
      <c r="H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7:19">
      <c r="G935" s="1"/>
      <c r="H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7:19">
      <c r="G936" s="1"/>
      <c r="H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7:19">
      <c r="G937" s="1"/>
      <c r="H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7:19">
      <c r="G938" s="1"/>
      <c r="H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7:19">
      <c r="G939" s="1"/>
      <c r="H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7:19">
      <c r="G940" s="1"/>
      <c r="H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7:19">
      <c r="G941" s="1"/>
      <c r="H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7:19">
      <c r="G942" s="1"/>
      <c r="H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7:19">
      <c r="G943" s="1"/>
      <c r="H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7:19">
      <c r="G944" s="1"/>
      <c r="H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7:19">
      <c r="G945" s="1"/>
      <c r="H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7:19">
      <c r="G946" s="1"/>
      <c r="H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7:19">
      <c r="G947" s="1"/>
      <c r="H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7:19">
      <c r="G948" s="1"/>
      <c r="H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7:19">
      <c r="G949" s="1"/>
      <c r="H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7:19">
      <c r="G950" s="1"/>
      <c r="H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7:19">
      <c r="G951" s="1"/>
      <c r="H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7:19">
      <c r="G952" s="1"/>
      <c r="H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7:19">
      <c r="G953" s="1"/>
      <c r="H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7:19">
      <c r="G954" s="1"/>
      <c r="H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7:19">
      <c r="G955" s="1"/>
      <c r="H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7:19">
      <c r="G956" s="1"/>
      <c r="H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7:19">
      <c r="G957" s="1"/>
      <c r="H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7:19">
      <c r="G958" s="1"/>
      <c r="H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7:19">
      <c r="G959" s="1"/>
      <c r="H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7:19">
      <c r="G960" s="1"/>
      <c r="H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7:19">
      <c r="G961" s="1"/>
      <c r="H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7:19">
      <c r="G962" s="1"/>
      <c r="H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7:19">
      <c r="G963" s="1"/>
      <c r="H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7:19">
      <c r="G964" s="1"/>
      <c r="H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7:19">
      <c r="G965" s="1"/>
      <c r="H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7:19">
      <c r="G966" s="1"/>
      <c r="H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7:19">
      <c r="G967" s="1"/>
      <c r="H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7:19">
      <c r="G968" s="1"/>
      <c r="H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7:19">
      <c r="G969" s="1"/>
      <c r="H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7:19">
      <c r="G970" s="1"/>
      <c r="H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7:19">
      <c r="G971" s="1"/>
      <c r="H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7:19">
      <c r="G972" s="1"/>
      <c r="H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7:19">
      <c r="G973" s="1"/>
      <c r="H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7:19">
      <c r="G974" s="1"/>
      <c r="H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7:19">
      <c r="G975" s="1"/>
      <c r="H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7:19">
      <c r="G976" s="1"/>
      <c r="H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7:19">
      <c r="G977" s="1"/>
      <c r="H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7:19">
      <c r="G978" s="1"/>
      <c r="H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7:19">
      <c r="G979" s="1"/>
      <c r="H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7:19">
      <c r="G980" s="1"/>
      <c r="H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7:19">
      <c r="G981" s="1"/>
      <c r="H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7:19">
      <c r="G982" s="1"/>
      <c r="H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7:19">
      <c r="G983" s="1"/>
      <c r="H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7:19">
      <c r="G984" s="1"/>
      <c r="H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7:19">
      <c r="G985" s="1"/>
      <c r="H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7:19">
      <c r="G986" s="1"/>
      <c r="H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7:19">
      <c r="G987" s="1"/>
      <c r="H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7:19">
      <c r="G988" s="1"/>
      <c r="H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7:19">
      <c r="G989" s="1"/>
      <c r="H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7:19">
      <c r="G990" s="1"/>
      <c r="H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7:19">
      <c r="G991" s="1"/>
      <c r="H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7:19">
      <c r="G992" s="1"/>
      <c r="H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7:19">
      <c r="G993" s="1"/>
      <c r="H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7:19">
      <c r="G994" s="1"/>
      <c r="H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7:19">
      <c r="G995" s="1"/>
      <c r="H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7:19">
      <c r="G996" s="1"/>
      <c r="H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7:19">
      <c r="G997" s="1"/>
      <c r="H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7:19">
      <c r="G998" s="1"/>
      <c r="H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7:19">
      <c r="G999" s="1"/>
      <c r="H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7:19">
      <c r="G1000" s="1"/>
      <c r="H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</sheetData>
  <hyperlinks>
    <hyperlink ref="S2" r:id="rId1" display="http://speedskatingresults.com/index.php?p=2&amp;e=31773&amp;s=93128" xr:uid="{00000000-0004-0000-0F00-000000000000}"/>
    <hyperlink ref="S4" r:id="rId2" display="http://speedskatingresults.com/index.php?p=2&amp;e=31773&amp;s=63475" xr:uid="{00000000-0004-0000-0F00-000001000000}"/>
    <hyperlink ref="B10" r:id="rId3" xr:uid="{00000000-0004-0000-0F00-000002000000}"/>
    <hyperlink ref="S12" r:id="rId4" display="http://speedskatingresults.com/index.php?p=2&amp;e=31411&amp;s=83318" xr:uid="{00000000-0004-0000-0F00-000003000000}"/>
    <hyperlink ref="S16" r:id="rId5" display="http://speedskatingresults.com/index.php?p=2&amp;e=30591&amp;s=120619" xr:uid="{00000000-0004-0000-0F00-000004000000}"/>
    <hyperlink ref="S19" r:id="rId6" display="http://speedskatingresults.com/index.php?p=2&amp;e=31719&amp;s=114671" xr:uid="{00000000-0004-0000-0F00-000005000000}"/>
    <hyperlink ref="S20" r:id="rId7" display="http://speedskatingresults.com/index.php?p=2&amp;e=30591&amp;s=115280" xr:uid="{00000000-0004-0000-0F00-000006000000}"/>
    <hyperlink ref="S22" r:id="rId8" display="http://speedskatingresults.com/index.php?p=2&amp;e=31773&amp;s=86207" xr:uid="{00000000-0004-0000-0F00-000007000000}"/>
    <hyperlink ref="S24" r:id="rId9" display="http://speedskatingresults.com/index.php?p=2&amp;e=30591&amp;s=114230" xr:uid="{00000000-0004-0000-0F00-000008000000}"/>
    <hyperlink ref="S27" r:id="rId10" display="http://speedskatingresults.com/index.php?p=2&amp;e=31719&amp;s=106984" xr:uid="{00000000-0004-0000-0F00-000009000000}"/>
    <hyperlink ref="S29" r:id="rId11" display="http://speedskatingresults.com/index.php?p=2&amp;e=30591&amp;s=114229" xr:uid="{00000000-0004-0000-0F00-00000A000000}"/>
    <hyperlink ref="S31" r:id="rId12" display="http://speedskatingresults.com/index.php?p=2&amp;e=30591&amp;s=99863" xr:uid="{00000000-0004-0000-0F00-00000B000000}"/>
    <hyperlink ref="S35" r:id="rId13" display="http://speedskatingresults.com/index.php?p=2&amp;e=32048&amp;s=114228" xr:uid="{00000000-0004-0000-0F00-00000C000000}"/>
    <hyperlink ref="S36" r:id="rId14" display="http://speedskatingresults.com/index.php?p=2&amp;e=31248&amp;s=64097" xr:uid="{00000000-0004-0000-0F00-00000D000000}"/>
    <hyperlink ref="S41" r:id="rId15" display="http://speedskatingresults.com/index.php?p=2&amp;e=31912&amp;s=106065" xr:uid="{00000000-0004-0000-0F00-00000E000000}"/>
    <hyperlink ref="S45" r:id="rId16" display="http://speedskatingresults.com/index.php?p=2&amp;e=31847&amp;s=57301" xr:uid="{00000000-0004-0000-0F00-00000F000000}"/>
    <hyperlink ref="S48" r:id="rId17" display="http://speedskatingresults.com/index.php?p=2&amp;e=31719&amp;s=92534" xr:uid="{00000000-0004-0000-0F00-000010000000}"/>
    <hyperlink ref="S49" r:id="rId18" display="http://speedskatingresults.com/index.php?p=2&amp;e=31719&amp;s=89457" xr:uid="{00000000-0004-0000-0F00-000011000000}"/>
    <hyperlink ref="S50" r:id="rId19" display="http://speedskatingresults.com/index.php?p=2&amp;e=31773&amp;s=106983" xr:uid="{00000000-0004-0000-0F00-000012000000}"/>
    <hyperlink ref="S52" r:id="rId20" display="http://speedskatingresults.com/index.php?p=2&amp;e=31588&amp;s=108342" xr:uid="{00000000-0004-0000-0F00-000013000000}"/>
    <hyperlink ref="S53" r:id="rId21" display="http://speedskatingresults.com/index.php?p=2&amp;e=30591&amp;s=94320" xr:uid="{00000000-0004-0000-0F00-000014000000}"/>
    <hyperlink ref="S54" r:id="rId22" display="http://speedskatingresults.com/index.php?p=2&amp;e=30591&amp;s=60820" xr:uid="{00000000-0004-0000-0F00-000015000000}"/>
    <hyperlink ref="S57" r:id="rId23" display="http://speedskatingresults.com/index.php?p=2&amp;e=32050&amp;s=5540" xr:uid="{00000000-0004-0000-0F00-000016000000}"/>
    <hyperlink ref="S58" r:id="rId24" display="http://speedskatingresults.com/index.php?p=2&amp;e=31719&amp;s=75917" xr:uid="{00000000-0004-0000-0F00-000017000000}"/>
    <hyperlink ref="S59" r:id="rId25" display="http://speedskatingresults.com/index.php?p=2&amp;e=31719&amp;s=83279" xr:uid="{00000000-0004-0000-0F00-000018000000}"/>
    <hyperlink ref="S62" r:id="rId26" display="http://speedskatingresults.com/index.php?p=2&amp;e=31773&amp;s=79811" xr:uid="{00000000-0004-0000-0F00-000019000000}"/>
    <hyperlink ref="S66" r:id="rId27" display="http://speedskatingresults.com/index.php?p=2&amp;e=31773&amp;s=79814" xr:uid="{00000000-0004-0000-0F00-00001A000000}"/>
    <hyperlink ref="S68" r:id="rId28" display="http://speedskatingresults.com/index.php?p=2&amp;e=31773&amp;s=106985" xr:uid="{00000000-0004-0000-0F00-00001B000000}"/>
    <hyperlink ref="S73" r:id="rId29" display="http://speedskatingresults.com/index.php?p=2&amp;e=30908&amp;s=83554" xr:uid="{00000000-0004-0000-0F00-00001C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1000"/>
  <sheetViews>
    <sheetView workbookViewId="0"/>
  </sheetViews>
  <sheetFormatPr baseColWidth="10" defaultColWidth="12.64453125" defaultRowHeight="15.75" customHeight="1"/>
  <sheetData>
    <row r="1" spans="1:1">
      <c r="A1" s="3" t="s">
        <v>170</v>
      </c>
    </row>
    <row r="2" spans="1:1">
      <c r="A2" s="1" t="s">
        <v>169</v>
      </c>
    </row>
    <row r="3" spans="1:1">
      <c r="A3" s="1" t="s">
        <v>171</v>
      </c>
    </row>
    <row r="4" spans="1:1">
      <c r="A4" s="1" t="s">
        <v>172</v>
      </c>
    </row>
    <row r="5" spans="1:1">
      <c r="A5" s="1" t="s">
        <v>173</v>
      </c>
    </row>
    <row r="6" spans="1:1">
      <c r="A6" s="1" t="s">
        <v>174</v>
      </c>
    </row>
    <row r="7" spans="1:1">
      <c r="A7" s="1" t="s">
        <v>77</v>
      </c>
    </row>
    <row r="8" spans="1:1">
      <c r="A8" s="1" t="s">
        <v>175</v>
      </c>
    </row>
    <row r="9" spans="1:1">
      <c r="A9" s="1" t="s">
        <v>176</v>
      </c>
    </row>
    <row r="10" spans="1:1">
      <c r="A10" s="1" t="s">
        <v>177</v>
      </c>
    </row>
    <row r="11" spans="1:1">
      <c r="A11" s="1" t="s">
        <v>178</v>
      </c>
    </row>
    <row r="12" spans="1:1">
      <c r="A12" s="1" t="s">
        <v>179</v>
      </c>
    </row>
    <row r="13" spans="1:1">
      <c r="A13" s="1" t="s">
        <v>180</v>
      </c>
    </row>
    <row r="14" spans="1:1">
      <c r="A14" s="1" t="s">
        <v>21</v>
      </c>
    </row>
    <row r="15" spans="1:1">
      <c r="A15" s="1" t="s">
        <v>181</v>
      </c>
    </row>
    <row r="16" spans="1:1">
      <c r="A16" s="1" t="s">
        <v>182</v>
      </c>
    </row>
    <row r="17" spans="1:1">
      <c r="A17" s="1" t="s">
        <v>183</v>
      </c>
    </row>
    <row r="18" spans="1:1">
      <c r="A18" s="1" t="s">
        <v>184</v>
      </c>
    </row>
    <row r="19" spans="1:1">
      <c r="A19" s="1" t="s">
        <v>185</v>
      </c>
    </row>
    <row r="20" spans="1:1">
      <c r="A20" s="1" t="s">
        <v>186</v>
      </c>
    </row>
    <row r="21" spans="1:1">
      <c r="A21" s="1" t="s">
        <v>187</v>
      </c>
    </row>
    <row r="22" spans="1:1">
      <c r="A22" s="1" t="s">
        <v>188</v>
      </c>
    </row>
    <row r="23" spans="1:1">
      <c r="A23" s="1" t="s">
        <v>189</v>
      </c>
    </row>
    <row r="24" spans="1:1">
      <c r="A24" s="1" t="s">
        <v>190</v>
      </c>
    </row>
    <row r="25" spans="1:1">
      <c r="A25" s="1" t="s">
        <v>191</v>
      </c>
    </row>
    <row r="26" spans="1:1">
      <c r="A26" s="1" t="s">
        <v>192</v>
      </c>
    </row>
    <row r="27" spans="1:1">
      <c r="A27" s="1" t="s">
        <v>193</v>
      </c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C1002"/>
  <sheetViews>
    <sheetView workbookViewId="0"/>
  </sheetViews>
  <sheetFormatPr baseColWidth="10" defaultColWidth="12.64453125" defaultRowHeight="15.75" customHeight="1"/>
  <cols>
    <col min="1" max="1" width="20.76171875" customWidth="1"/>
  </cols>
  <sheetData>
    <row r="1" spans="1:3">
      <c r="A1" s="3" t="s">
        <v>157</v>
      </c>
      <c r="B1" s="3" t="s">
        <v>196</v>
      </c>
      <c r="C1" s="3" t="s">
        <v>197</v>
      </c>
    </row>
    <row r="2" spans="1:3">
      <c r="A2" s="1" t="s">
        <v>198</v>
      </c>
      <c r="B2" s="1" t="s">
        <v>199</v>
      </c>
      <c r="C2" s="1">
        <v>99</v>
      </c>
    </row>
    <row r="3" spans="1:3">
      <c r="A3" s="1" t="s">
        <v>200</v>
      </c>
      <c r="B3" s="1" t="s">
        <v>201</v>
      </c>
      <c r="C3" s="1">
        <v>125</v>
      </c>
    </row>
    <row r="4" spans="1:3">
      <c r="A4" s="1" t="s">
        <v>202</v>
      </c>
      <c r="B4" s="1" t="s">
        <v>203</v>
      </c>
      <c r="C4" s="1">
        <v>72</v>
      </c>
    </row>
    <row r="5" spans="1:3">
      <c r="A5" s="1" t="s">
        <v>204</v>
      </c>
      <c r="B5" s="1" t="s">
        <v>205</v>
      </c>
      <c r="C5" s="1">
        <v>13</v>
      </c>
    </row>
    <row r="6" spans="1:3">
      <c r="A6" s="1" t="s">
        <v>206</v>
      </c>
      <c r="B6" s="1" t="s">
        <v>207</v>
      </c>
      <c r="C6" s="1">
        <v>247</v>
      </c>
    </row>
    <row r="7" spans="1:3">
      <c r="A7" s="1" t="s">
        <v>208</v>
      </c>
      <c r="B7" s="1" t="s">
        <v>203</v>
      </c>
      <c r="C7" s="1">
        <v>163</v>
      </c>
    </row>
    <row r="8" spans="1:3">
      <c r="A8" s="1" t="s">
        <v>209</v>
      </c>
      <c r="B8" s="1" t="s">
        <v>203</v>
      </c>
      <c r="C8" s="1">
        <v>118</v>
      </c>
    </row>
    <row r="9" spans="1:3">
      <c r="A9" s="1" t="s">
        <v>211</v>
      </c>
      <c r="B9" s="1" t="s">
        <v>203</v>
      </c>
      <c r="C9" s="1">
        <v>244</v>
      </c>
    </row>
    <row r="10" spans="1:3">
      <c r="A10" s="1" t="s">
        <v>212</v>
      </c>
      <c r="B10" s="1" t="s">
        <v>213</v>
      </c>
      <c r="C10" s="1">
        <v>183</v>
      </c>
    </row>
    <row r="11" spans="1:3">
      <c r="A11" s="1" t="s">
        <v>215</v>
      </c>
      <c r="B11" s="1" t="s">
        <v>207</v>
      </c>
      <c r="C11" s="1">
        <v>94</v>
      </c>
    </row>
    <row r="12" spans="1:3">
      <c r="A12" s="1" t="s">
        <v>217</v>
      </c>
      <c r="B12" s="1" t="s">
        <v>218</v>
      </c>
      <c r="C12" s="1">
        <v>272</v>
      </c>
    </row>
    <row r="13" spans="1:3">
      <c r="A13" s="1" t="s">
        <v>219</v>
      </c>
      <c r="B13" s="1" t="s">
        <v>218</v>
      </c>
      <c r="C13" s="1">
        <v>160</v>
      </c>
    </row>
    <row r="14" spans="1:3">
      <c r="A14" s="1" t="s">
        <v>221</v>
      </c>
      <c r="B14" s="1" t="s">
        <v>218</v>
      </c>
      <c r="C14" s="1">
        <v>280</v>
      </c>
    </row>
    <row r="15" spans="1:3">
      <c r="A15" s="1" t="s">
        <v>222</v>
      </c>
      <c r="B15" s="1" t="s">
        <v>201</v>
      </c>
      <c r="C15" s="1">
        <v>153</v>
      </c>
    </row>
    <row r="16" spans="1:3">
      <c r="A16" s="1" t="s">
        <v>224</v>
      </c>
      <c r="B16" s="1" t="s">
        <v>201</v>
      </c>
      <c r="C16" s="1">
        <v>53</v>
      </c>
    </row>
    <row r="17" spans="1:3">
      <c r="A17" s="1" t="s">
        <v>226</v>
      </c>
      <c r="B17" s="1" t="s">
        <v>207</v>
      </c>
      <c r="C17" s="1">
        <v>68</v>
      </c>
    </row>
    <row r="18" spans="1:3">
      <c r="A18" s="1" t="s">
        <v>228</v>
      </c>
      <c r="B18" s="1" t="s">
        <v>203</v>
      </c>
      <c r="C18" s="1">
        <v>88</v>
      </c>
    </row>
    <row r="19" spans="1:3">
      <c r="A19" s="1" t="s">
        <v>231</v>
      </c>
      <c r="B19" s="1" t="s">
        <v>205</v>
      </c>
      <c r="C19" s="1">
        <v>203</v>
      </c>
    </row>
    <row r="20" spans="1:3">
      <c r="A20" s="1" t="s">
        <v>233</v>
      </c>
      <c r="B20" s="1" t="s">
        <v>218</v>
      </c>
      <c r="C20" s="1">
        <v>116</v>
      </c>
    </row>
    <row r="21" spans="1:3">
      <c r="A21" s="1" t="s">
        <v>235</v>
      </c>
      <c r="B21" s="1" t="s">
        <v>236</v>
      </c>
      <c r="C21" s="1">
        <v>119</v>
      </c>
    </row>
    <row r="22" spans="1:3">
      <c r="A22" s="1" t="s">
        <v>118</v>
      </c>
      <c r="B22" s="1" t="s">
        <v>239</v>
      </c>
      <c r="C22" s="1">
        <v>17</v>
      </c>
    </row>
    <row r="23" spans="1:3">
      <c r="A23" s="1" t="s">
        <v>241</v>
      </c>
      <c r="B23" s="1" t="s">
        <v>243</v>
      </c>
      <c r="C23" s="1">
        <v>283</v>
      </c>
    </row>
    <row r="24" spans="1:3">
      <c r="A24" s="1" t="s">
        <v>245</v>
      </c>
      <c r="B24" s="1" t="s">
        <v>243</v>
      </c>
      <c r="C24" s="1">
        <v>290</v>
      </c>
    </row>
    <row r="25" spans="1:3">
      <c r="A25" s="1" t="s">
        <v>247</v>
      </c>
      <c r="B25" s="1" t="s">
        <v>207</v>
      </c>
      <c r="C25" s="1">
        <v>130</v>
      </c>
    </row>
    <row r="26" spans="1:3">
      <c r="A26" s="1" t="s">
        <v>248</v>
      </c>
      <c r="B26" s="1" t="s">
        <v>249</v>
      </c>
      <c r="C26" s="1">
        <v>22</v>
      </c>
    </row>
    <row r="27" spans="1:3">
      <c r="A27" s="1" t="s">
        <v>250</v>
      </c>
      <c r="B27" s="1" t="s">
        <v>249</v>
      </c>
      <c r="C27" s="1">
        <v>214</v>
      </c>
    </row>
    <row r="28" spans="1:3">
      <c r="A28" s="1" t="s">
        <v>251</v>
      </c>
      <c r="B28" s="1" t="s">
        <v>218</v>
      </c>
      <c r="C28" s="1">
        <v>275</v>
      </c>
    </row>
    <row r="29" spans="1:3">
      <c r="A29" s="1" t="s">
        <v>252</v>
      </c>
      <c r="B29" s="1" t="s">
        <v>207</v>
      </c>
      <c r="C29" s="1">
        <v>117</v>
      </c>
    </row>
    <row r="30" spans="1:3">
      <c r="A30" s="1" t="s">
        <v>253</v>
      </c>
      <c r="B30" s="1" t="s">
        <v>218</v>
      </c>
      <c r="C30" s="1">
        <v>304</v>
      </c>
    </row>
    <row r="31" spans="1:3">
      <c r="A31" s="1" t="s">
        <v>254</v>
      </c>
      <c r="B31" s="1" t="s">
        <v>255</v>
      </c>
      <c r="C31" s="1">
        <v>245</v>
      </c>
    </row>
    <row r="32" spans="1:3">
      <c r="A32" s="1" t="s">
        <v>256</v>
      </c>
      <c r="B32" s="1" t="s">
        <v>203</v>
      </c>
      <c r="C32" s="1">
        <v>64</v>
      </c>
    </row>
    <row r="33" spans="1:3">
      <c r="A33" s="1" t="s">
        <v>257</v>
      </c>
      <c r="B33" s="1" t="s">
        <v>258</v>
      </c>
      <c r="C33" s="1">
        <v>16</v>
      </c>
    </row>
    <row r="34" spans="1:3">
      <c r="A34" s="1" t="s">
        <v>259</v>
      </c>
      <c r="B34" s="1" t="s">
        <v>207</v>
      </c>
      <c r="C34" s="1">
        <v>129</v>
      </c>
    </row>
    <row r="35" spans="1:3">
      <c r="A35" s="1" t="s">
        <v>113</v>
      </c>
      <c r="B35" s="1" t="s">
        <v>260</v>
      </c>
      <c r="C35" s="1">
        <v>5</v>
      </c>
    </row>
    <row r="36" spans="1:3">
      <c r="A36" s="1" t="s">
        <v>261</v>
      </c>
      <c r="B36" s="1" t="s">
        <v>243</v>
      </c>
      <c r="C36" s="1">
        <v>102</v>
      </c>
    </row>
    <row r="37" spans="1:3">
      <c r="A37" s="1" t="s">
        <v>262</v>
      </c>
      <c r="B37" s="1" t="s">
        <v>218</v>
      </c>
      <c r="C37" s="1">
        <v>299</v>
      </c>
    </row>
    <row r="38" spans="1:3">
      <c r="A38" s="1" t="s">
        <v>263</v>
      </c>
      <c r="B38" s="1" t="s">
        <v>218</v>
      </c>
      <c r="C38" s="1">
        <v>57</v>
      </c>
    </row>
    <row r="39" spans="1:3">
      <c r="A39" s="1" t="s">
        <v>264</v>
      </c>
      <c r="B39" s="1" t="s">
        <v>218</v>
      </c>
      <c r="C39" s="1">
        <v>219</v>
      </c>
    </row>
    <row r="40" spans="1:3">
      <c r="A40" s="1" t="s">
        <v>265</v>
      </c>
      <c r="B40" s="1" t="s">
        <v>249</v>
      </c>
      <c r="C40" s="1">
        <v>26</v>
      </c>
    </row>
    <row r="41" spans="1:3">
      <c r="A41" s="1" t="s">
        <v>266</v>
      </c>
      <c r="B41" s="1" t="s">
        <v>218</v>
      </c>
      <c r="C41" s="1">
        <v>149</v>
      </c>
    </row>
    <row r="42" spans="1:3">
      <c r="A42" s="1" t="s">
        <v>267</v>
      </c>
      <c r="B42" s="1" t="s">
        <v>201</v>
      </c>
      <c r="C42" s="1">
        <v>89</v>
      </c>
    </row>
    <row r="43" spans="1:3">
      <c r="A43" s="1" t="s">
        <v>268</v>
      </c>
      <c r="B43" s="1" t="s">
        <v>218</v>
      </c>
      <c r="C43" s="1">
        <v>206</v>
      </c>
    </row>
    <row r="44" spans="1:3">
      <c r="A44" s="1" t="s">
        <v>117</v>
      </c>
      <c r="B44" s="1" t="s">
        <v>239</v>
      </c>
      <c r="C44" s="1">
        <v>10</v>
      </c>
    </row>
    <row r="45" spans="1:3">
      <c r="A45" s="1" t="s">
        <v>269</v>
      </c>
      <c r="B45" s="1" t="s">
        <v>249</v>
      </c>
      <c r="C45" s="1">
        <v>190</v>
      </c>
    </row>
    <row r="46" spans="1:3">
      <c r="A46" s="1" t="s">
        <v>270</v>
      </c>
      <c r="B46" s="1" t="s">
        <v>243</v>
      </c>
      <c r="C46" s="1">
        <v>259</v>
      </c>
    </row>
    <row r="47" spans="1:3">
      <c r="A47" s="1" t="s">
        <v>271</v>
      </c>
      <c r="B47" s="1" t="s">
        <v>236</v>
      </c>
      <c r="C47" s="1">
        <v>20</v>
      </c>
    </row>
    <row r="48" spans="1:3">
      <c r="A48" s="1" t="s">
        <v>272</v>
      </c>
      <c r="B48" s="1" t="s">
        <v>260</v>
      </c>
      <c r="C48" s="1">
        <v>200</v>
      </c>
    </row>
    <row r="49" spans="1:3">
      <c r="A49" s="1" t="s">
        <v>273</v>
      </c>
      <c r="B49" s="1" t="s">
        <v>203</v>
      </c>
      <c r="C49" s="1">
        <v>52</v>
      </c>
    </row>
    <row r="50" spans="1:3">
      <c r="A50" s="1" t="s">
        <v>274</v>
      </c>
      <c r="B50" s="1" t="s">
        <v>203</v>
      </c>
      <c r="C50" s="1">
        <v>80</v>
      </c>
    </row>
    <row r="51" spans="1:3">
      <c r="A51" s="1" t="s">
        <v>275</v>
      </c>
      <c r="B51" s="1" t="s">
        <v>218</v>
      </c>
      <c r="C51" s="1">
        <v>115</v>
      </c>
    </row>
    <row r="52" spans="1:3">
      <c r="A52" s="1" t="s">
        <v>276</v>
      </c>
      <c r="B52" s="1" t="s">
        <v>207</v>
      </c>
      <c r="C52" s="1">
        <v>79</v>
      </c>
    </row>
    <row r="53" spans="1:3">
      <c r="A53" s="1" t="s">
        <v>277</v>
      </c>
      <c r="B53" s="1" t="s">
        <v>249</v>
      </c>
      <c r="C53" s="1">
        <v>63</v>
      </c>
    </row>
    <row r="54" spans="1:3">
      <c r="A54" s="1" t="s">
        <v>278</v>
      </c>
      <c r="B54" s="1" t="s">
        <v>203</v>
      </c>
      <c r="C54" s="1">
        <v>196</v>
      </c>
    </row>
    <row r="55" spans="1:3">
      <c r="A55" s="1" t="s">
        <v>279</v>
      </c>
      <c r="B55" s="1" t="s">
        <v>203</v>
      </c>
      <c r="C55" s="1">
        <v>176</v>
      </c>
    </row>
    <row r="56" spans="1:3">
      <c r="A56" s="1" t="s">
        <v>280</v>
      </c>
      <c r="B56" s="1" t="s">
        <v>260</v>
      </c>
      <c r="C56" s="1">
        <v>261</v>
      </c>
    </row>
    <row r="57" spans="1:3">
      <c r="A57" s="1" t="s">
        <v>281</v>
      </c>
      <c r="B57" s="1" t="s">
        <v>207</v>
      </c>
      <c r="C57" s="1">
        <v>167</v>
      </c>
    </row>
    <row r="58" spans="1:3">
      <c r="A58" s="1" t="s">
        <v>282</v>
      </c>
      <c r="B58" s="1" t="s">
        <v>203</v>
      </c>
      <c r="C58" s="1">
        <v>12</v>
      </c>
    </row>
    <row r="59" spans="1:3">
      <c r="A59" s="1" t="s">
        <v>283</v>
      </c>
      <c r="B59" s="1" t="s">
        <v>218</v>
      </c>
      <c r="C59" s="1">
        <v>74</v>
      </c>
    </row>
    <row r="60" spans="1:3">
      <c r="A60" s="1" t="s">
        <v>284</v>
      </c>
      <c r="B60" s="1" t="s">
        <v>285</v>
      </c>
      <c r="C60" s="1">
        <v>154</v>
      </c>
    </row>
    <row r="61" spans="1:3">
      <c r="A61" s="1" t="s">
        <v>286</v>
      </c>
      <c r="B61" s="1" t="s">
        <v>287</v>
      </c>
      <c r="C61" s="1">
        <v>263</v>
      </c>
    </row>
    <row r="62" spans="1:3">
      <c r="A62" s="1" t="s">
        <v>288</v>
      </c>
      <c r="B62" s="1" t="s">
        <v>201</v>
      </c>
      <c r="C62" s="1">
        <v>126</v>
      </c>
    </row>
    <row r="63" spans="1:3">
      <c r="A63" s="1" t="s">
        <v>289</v>
      </c>
      <c r="B63" s="1" t="s">
        <v>203</v>
      </c>
      <c r="C63" s="1">
        <v>157</v>
      </c>
    </row>
    <row r="64" spans="1:3">
      <c r="A64" s="1" t="s">
        <v>290</v>
      </c>
      <c r="B64" s="1" t="s">
        <v>291</v>
      </c>
      <c r="C64" s="1">
        <v>155</v>
      </c>
    </row>
    <row r="65" spans="1:3">
      <c r="A65" s="1" t="s">
        <v>123</v>
      </c>
      <c r="B65" s="1" t="s">
        <v>249</v>
      </c>
      <c r="C65" s="1">
        <v>14</v>
      </c>
    </row>
    <row r="66" spans="1:3">
      <c r="A66" s="1" t="s">
        <v>292</v>
      </c>
      <c r="B66" s="1" t="s">
        <v>255</v>
      </c>
      <c r="C66" s="1">
        <v>104</v>
      </c>
    </row>
    <row r="67" spans="1:3">
      <c r="A67" s="1" t="s">
        <v>293</v>
      </c>
      <c r="B67" s="1" t="s">
        <v>255</v>
      </c>
      <c r="C67" s="1">
        <v>228</v>
      </c>
    </row>
    <row r="68" spans="1:3">
      <c r="A68" s="1" t="s">
        <v>294</v>
      </c>
      <c r="B68" s="1" t="s">
        <v>260</v>
      </c>
      <c r="C68" s="1">
        <v>181</v>
      </c>
    </row>
    <row r="69" spans="1:3">
      <c r="A69" s="1" t="s">
        <v>295</v>
      </c>
      <c r="B69" s="1" t="s">
        <v>260</v>
      </c>
      <c r="C69" s="1">
        <v>107</v>
      </c>
    </row>
    <row r="70" spans="1:3">
      <c r="A70" s="1" t="s">
        <v>296</v>
      </c>
      <c r="B70" s="1" t="s">
        <v>249</v>
      </c>
      <c r="C70" s="1">
        <v>87</v>
      </c>
    </row>
    <row r="71" spans="1:3">
      <c r="A71" s="1" t="s">
        <v>297</v>
      </c>
      <c r="B71" s="1" t="s">
        <v>255</v>
      </c>
      <c r="C71" s="1">
        <v>166</v>
      </c>
    </row>
    <row r="72" spans="1:3">
      <c r="A72" s="1" t="s">
        <v>298</v>
      </c>
      <c r="B72" s="1" t="s">
        <v>201</v>
      </c>
      <c r="C72" s="1">
        <v>121</v>
      </c>
    </row>
    <row r="73" spans="1:3">
      <c r="A73" s="1" t="s">
        <v>299</v>
      </c>
      <c r="B73" s="1" t="s">
        <v>243</v>
      </c>
      <c r="C73" s="1">
        <v>224</v>
      </c>
    </row>
    <row r="74" spans="1:3">
      <c r="A74" s="1" t="s">
        <v>300</v>
      </c>
      <c r="B74" s="1" t="s">
        <v>243</v>
      </c>
      <c r="C74" s="1">
        <v>267</v>
      </c>
    </row>
    <row r="75" spans="1:3">
      <c r="A75" s="1" t="s">
        <v>301</v>
      </c>
      <c r="B75" s="1" t="s">
        <v>302</v>
      </c>
      <c r="C75" s="1">
        <v>262</v>
      </c>
    </row>
    <row r="76" spans="1:3">
      <c r="A76" s="1" t="s">
        <v>303</v>
      </c>
      <c r="B76" s="1" t="s">
        <v>207</v>
      </c>
      <c r="C76" s="1">
        <v>31</v>
      </c>
    </row>
    <row r="77" spans="1:3">
      <c r="A77" s="1" t="s">
        <v>304</v>
      </c>
      <c r="B77" s="1" t="s">
        <v>203</v>
      </c>
      <c r="C77" s="1">
        <v>132</v>
      </c>
    </row>
    <row r="78" spans="1:3">
      <c r="A78" s="1" t="s">
        <v>305</v>
      </c>
      <c r="B78" s="1" t="s">
        <v>207</v>
      </c>
      <c r="C78" s="1">
        <v>204</v>
      </c>
    </row>
    <row r="79" spans="1:3">
      <c r="A79" s="1" t="s">
        <v>306</v>
      </c>
      <c r="B79" s="1" t="s">
        <v>207</v>
      </c>
      <c r="C79" s="1">
        <v>33</v>
      </c>
    </row>
    <row r="80" spans="1:3">
      <c r="A80" s="1" t="s">
        <v>307</v>
      </c>
      <c r="B80" s="1" t="s">
        <v>249</v>
      </c>
      <c r="C80" s="1">
        <v>27</v>
      </c>
    </row>
    <row r="81" spans="1:3">
      <c r="A81" s="1" t="s">
        <v>308</v>
      </c>
      <c r="B81" s="1" t="s">
        <v>203</v>
      </c>
      <c r="C81" s="1">
        <v>24</v>
      </c>
    </row>
    <row r="82" spans="1:3">
      <c r="A82" s="1" t="s">
        <v>309</v>
      </c>
      <c r="B82" s="1" t="s">
        <v>203</v>
      </c>
      <c r="C82" s="1">
        <v>229</v>
      </c>
    </row>
    <row r="83" spans="1:3">
      <c r="A83" s="1" t="s">
        <v>310</v>
      </c>
      <c r="B83" s="1" t="s">
        <v>255</v>
      </c>
      <c r="C83" s="1">
        <v>298</v>
      </c>
    </row>
    <row r="84" spans="1:3">
      <c r="A84" s="1" t="s">
        <v>311</v>
      </c>
      <c r="B84" s="1" t="s">
        <v>255</v>
      </c>
      <c r="C84" s="1">
        <v>29</v>
      </c>
    </row>
    <row r="85" spans="1:3">
      <c r="A85" s="1" t="s">
        <v>312</v>
      </c>
      <c r="B85" s="1" t="s">
        <v>203</v>
      </c>
      <c r="C85" s="1">
        <v>177</v>
      </c>
    </row>
    <row r="86" spans="1:3">
      <c r="A86" s="1" t="s">
        <v>313</v>
      </c>
      <c r="B86" s="1" t="s">
        <v>203</v>
      </c>
      <c r="C86" s="1">
        <v>54</v>
      </c>
    </row>
    <row r="87" spans="1:3">
      <c r="A87" s="1" t="s">
        <v>314</v>
      </c>
      <c r="B87" s="1" t="s">
        <v>201</v>
      </c>
      <c r="C87" s="1">
        <v>284</v>
      </c>
    </row>
    <row r="88" spans="1:3">
      <c r="A88" s="1" t="s">
        <v>315</v>
      </c>
      <c r="B88" s="1" t="s">
        <v>201</v>
      </c>
      <c r="C88" s="1">
        <v>111</v>
      </c>
    </row>
    <row r="89" spans="1:3">
      <c r="A89" s="1" t="s">
        <v>316</v>
      </c>
      <c r="B89" s="1" t="s">
        <v>255</v>
      </c>
      <c r="C89" s="1">
        <v>134</v>
      </c>
    </row>
    <row r="90" spans="1:3">
      <c r="A90" s="1" t="s">
        <v>317</v>
      </c>
      <c r="B90" s="1" t="s">
        <v>243</v>
      </c>
      <c r="C90" s="1">
        <v>215</v>
      </c>
    </row>
    <row r="91" spans="1:3">
      <c r="A91" s="1" t="s">
        <v>318</v>
      </c>
      <c r="B91" s="1" t="s">
        <v>260</v>
      </c>
      <c r="C91" s="1">
        <v>198</v>
      </c>
    </row>
    <row r="92" spans="1:3">
      <c r="A92" s="1" t="s">
        <v>119</v>
      </c>
      <c r="B92" s="1" t="s">
        <v>207</v>
      </c>
      <c r="C92" s="1">
        <v>8</v>
      </c>
    </row>
    <row r="93" spans="1:3">
      <c r="A93" s="1" t="s">
        <v>319</v>
      </c>
      <c r="B93" s="1" t="s">
        <v>243</v>
      </c>
      <c r="C93" s="1">
        <v>47</v>
      </c>
    </row>
    <row r="94" spans="1:3">
      <c r="A94" s="1" t="s">
        <v>320</v>
      </c>
      <c r="B94" s="1" t="s">
        <v>207</v>
      </c>
      <c r="C94" s="1">
        <v>67</v>
      </c>
    </row>
    <row r="95" spans="1:3">
      <c r="A95" s="1" t="s">
        <v>114</v>
      </c>
      <c r="B95" s="1" t="s">
        <v>203</v>
      </c>
      <c r="C95" s="1">
        <v>9</v>
      </c>
    </row>
    <row r="96" spans="1:3">
      <c r="A96" s="1" t="s">
        <v>321</v>
      </c>
      <c r="B96" s="1" t="s">
        <v>322</v>
      </c>
      <c r="C96" s="1">
        <v>60</v>
      </c>
    </row>
    <row r="97" spans="1:3">
      <c r="A97" s="1" t="s">
        <v>323</v>
      </c>
      <c r="B97" s="1" t="s">
        <v>203</v>
      </c>
      <c r="C97" s="1">
        <v>222</v>
      </c>
    </row>
    <row r="98" spans="1:3">
      <c r="A98" s="1" t="s">
        <v>324</v>
      </c>
      <c r="B98" s="1" t="s">
        <v>207</v>
      </c>
      <c r="C98" s="1">
        <v>171</v>
      </c>
    </row>
    <row r="99" spans="1:3">
      <c r="A99" s="1" t="s">
        <v>325</v>
      </c>
      <c r="B99" s="1" t="s">
        <v>207</v>
      </c>
      <c r="C99" s="1">
        <v>218</v>
      </c>
    </row>
    <row r="100" spans="1:3">
      <c r="A100" s="1" t="s">
        <v>326</v>
      </c>
      <c r="B100" s="1" t="s">
        <v>203</v>
      </c>
      <c r="C100" s="1">
        <v>100</v>
      </c>
    </row>
    <row r="101" spans="1:3">
      <c r="A101" s="1" t="s">
        <v>327</v>
      </c>
      <c r="B101" s="1" t="s">
        <v>207</v>
      </c>
      <c r="C101" s="1">
        <v>141</v>
      </c>
    </row>
    <row r="102" spans="1:3">
      <c r="A102" s="1" t="s">
        <v>122</v>
      </c>
      <c r="B102" s="1" t="s">
        <v>328</v>
      </c>
      <c r="C102" s="1">
        <v>19</v>
      </c>
    </row>
    <row r="103" spans="1:3">
      <c r="A103" s="1" t="s">
        <v>112</v>
      </c>
      <c r="B103" s="1" t="s">
        <v>249</v>
      </c>
      <c r="C103" s="1">
        <v>11</v>
      </c>
    </row>
    <row r="104" spans="1:3">
      <c r="A104" s="1" t="s">
        <v>329</v>
      </c>
      <c r="B104" s="1" t="s">
        <v>218</v>
      </c>
      <c r="C104" s="1">
        <v>287</v>
      </c>
    </row>
    <row r="105" spans="1:3">
      <c r="A105" s="1" t="s">
        <v>330</v>
      </c>
      <c r="B105" s="1" t="s">
        <v>218</v>
      </c>
      <c r="C105" s="1">
        <v>147</v>
      </c>
    </row>
    <row r="106" spans="1:3">
      <c r="A106" s="1" t="s">
        <v>331</v>
      </c>
      <c r="B106" s="1" t="s">
        <v>218</v>
      </c>
      <c r="C106" s="1">
        <v>150</v>
      </c>
    </row>
    <row r="107" spans="1:3">
      <c r="A107" s="1" t="s">
        <v>332</v>
      </c>
      <c r="B107" s="1" t="s">
        <v>218</v>
      </c>
      <c r="C107" s="1">
        <v>252</v>
      </c>
    </row>
    <row r="108" spans="1:3">
      <c r="A108" s="1" t="s">
        <v>333</v>
      </c>
      <c r="B108" s="1" t="s">
        <v>207</v>
      </c>
      <c r="C108" s="1">
        <v>162</v>
      </c>
    </row>
    <row r="109" spans="1:3">
      <c r="A109" s="1" t="s">
        <v>334</v>
      </c>
      <c r="B109" s="1" t="s">
        <v>322</v>
      </c>
      <c r="C109" s="1">
        <v>142</v>
      </c>
    </row>
    <row r="110" spans="1:3">
      <c r="A110" s="1" t="s">
        <v>335</v>
      </c>
      <c r="B110" s="1" t="s">
        <v>218</v>
      </c>
      <c r="C110" s="1">
        <v>258</v>
      </c>
    </row>
    <row r="111" spans="1:3">
      <c r="A111" s="1" t="s">
        <v>336</v>
      </c>
      <c r="B111" s="1" t="s">
        <v>255</v>
      </c>
      <c r="C111" s="1">
        <v>84</v>
      </c>
    </row>
    <row r="112" spans="1:3">
      <c r="A112" s="1" t="s">
        <v>337</v>
      </c>
      <c r="B112" s="1" t="s">
        <v>201</v>
      </c>
      <c r="C112" s="1">
        <v>34</v>
      </c>
    </row>
    <row r="113" spans="1:3">
      <c r="A113" s="1" t="s">
        <v>338</v>
      </c>
      <c r="B113" s="1" t="s">
        <v>218</v>
      </c>
      <c r="C113" s="1">
        <v>241</v>
      </c>
    </row>
    <row r="114" spans="1:3">
      <c r="A114" s="1" t="s">
        <v>339</v>
      </c>
      <c r="B114" s="1" t="s">
        <v>218</v>
      </c>
      <c r="C114" s="1">
        <v>237</v>
      </c>
    </row>
    <row r="115" spans="1:3">
      <c r="A115" s="1" t="s">
        <v>340</v>
      </c>
      <c r="B115" s="1" t="s">
        <v>218</v>
      </c>
      <c r="C115" s="1">
        <v>256</v>
      </c>
    </row>
    <row r="116" spans="1:3">
      <c r="A116" s="1" t="s">
        <v>341</v>
      </c>
      <c r="B116" s="1" t="s">
        <v>218</v>
      </c>
      <c r="C116" s="1">
        <v>75</v>
      </c>
    </row>
    <row r="117" spans="1:3">
      <c r="A117" s="1" t="s">
        <v>342</v>
      </c>
      <c r="B117" s="1" t="s">
        <v>218</v>
      </c>
      <c r="C117" s="1">
        <v>151</v>
      </c>
    </row>
    <row r="118" spans="1:3">
      <c r="A118" s="1" t="s">
        <v>343</v>
      </c>
      <c r="B118" s="1" t="s">
        <v>201</v>
      </c>
      <c r="C118" s="1">
        <v>172</v>
      </c>
    </row>
    <row r="119" spans="1:3">
      <c r="A119" s="1" t="s">
        <v>120</v>
      </c>
      <c r="B119" s="1" t="s">
        <v>218</v>
      </c>
      <c r="C119" s="1">
        <v>101</v>
      </c>
    </row>
    <row r="120" spans="1:3">
      <c r="A120" s="1" t="s">
        <v>344</v>
      </c>
      <c r="B120" s="1" t="s">
        <v>218</v>
      </c>
      <c r="C120" s="1">
        <v>276</v>
      </c>
    </row>
    <row r="121" spans="1:3">
      <c r="A121" s="1" t="s">
        <v>345</v>
      </c>
      <c r="B121" s="1" t="s">
        <v>207</v>
      </c>
      <c r="C121" s="1">
        <v>92</v>
      </c>
    </row>
    <row r="122" spans="1:3">
      <c r="A122" s="1" t="s">
        <v>346</v>
      </c>
      <c r="B122" s="1" t="s">
        <v>207</v>
      </c>
      <c r="C122" s="1">
        <v>127</v>
      </c>
    </row>
    <row r="123" spans="1:3">
      <c r="A123" s="1" t="s">
        <v>347</v>
      </c>
      <c r="B123" s="1" t="s">
        <v>201</v>
      </c>
      <c r="C123" s="1">
        <v>124</v>
      </c>
    </row>
    <row r="124" spans="1:3">
      <c r="A124" s="1" t="s">
        <v>348</v>
      </c>
      <c r="B124" s="1" t="s">
        <v>205</v>
      </c>
      <c r="C124" s="1">
        <v>254</v>
      </c>
    </row>
    <row r="125" spans="1:3">
      <c r="A125" s="1" t="s">
        <v>349</v>
      </c>
      <c r="B125" s="1" t="s">
        <v>201</v>
      </c>
      <c r="C125" s="1">
        <v>133</v>
      </c>
    </row>
    <row r="126" spans="1:3">
      <c r="A126" s="1" t="s">
        <v>350</v>
      </c>
      <c r="B126" s="1" t="s">
        <v>218</v>
      </c>
      <c r="C126" s="1">
        <v>297</v>
      </c>
    </row>
    <row r="127" spans="1:3">
      <c r="A127" s="1" t="s">
        <v>351</v>
      </c>
      <c r="B127" s="1" t="s">
        <v>218</v>
      </c>
      <c r="C127" s="1">
        <v>227</v>
      </c>
    </row>
    <row r="128" spans="1:3">
      <c r="A128" s="1" t="s">
        <v>352</v>
      </c>
      <c r="B128" s="1" t="s">
        <v>207</v>
      </c>
      <c r="C128" s="1">
        <v>205</v>
      </c>
    </row>
    <row r="129" spans="1:3">
      <c r="A129" s="1" t="s">
        <v>353</v>
      </c>
      <c r="B129" s="1" t="s">
        <v>255</v>
      </c>
      <c r="C129" s="1">
        <v>168</v>
      </c>
    </row>
    <row r="130" spans="1:3">
      <c r="A130" s="1" t="s">
        <v>354</v>
      </c>
      <c r="B130" s="1" t="s">
        <v>218</v>
      </c>
      <c r="C130" s="1">
        <v>306</v>
      </c>
    </row>
    <row r="131" spans="1:3">
      <c r="A131" s="1" t="s">
        <v>355</v>
      </c>
      <c r="B131" s="1" t="s">
        <v>322</v>
      </c>
      <c r="C131" s="1">
        <v>285</v>
      </c>
    </row>
    <row r="132" spans="1:3">
      <c r="A132" s="1" t="s">
        <v>356</v>
      </c>
      <c r="B132" s="1" t="s">
        <v>201</v>
      </c>
      <c r="C132" s="1">
        <v>91</v>
      </c>
    </row>
    <row r="133" spans="1:3">
      <c r="A133" s="1" t="s">
        <v>357</v>
      </c>
      <c r="B133" s="1" t="s">
        <v>207</v>
      </c>
      <c r="C133" s="1">
        <v>188</v>
      </c>
    </row>
    <row r="134" spans="1:3">
      <c r="A134" s="1" t="s">
        <v>358</v>
      </c>
      <c r="B134" s="1" t="s">
        <v>359</v>
      </c>
      <c r="C134" s="1">
        <v>36</v>
      </c>
    </row>
    <row r="135" spans="1:3">
      <c r="A135" s="1" t="s">
        <v>360</v>
      </c>
      <c r="B135" s="1" t="s">
        <v>213</v>
      </c>
      <c r="C135" s="1">
        <v>2</v>
      </c>
    </row>
    <row r="136" spans="1:3">
      <c r="A136" s="1" t="s">
        <v>361</v>
      </c>
      <c r="B136" s="1" t="s">
        <v>207</v>
      </c>
      <c r="C136" s="1">
        <v>49</v>
      </c>
    </row>
    <row r="137" spans="1:3">
      <c r="A137" s="1" t="s">
        <v>362</v>
      </c>
      <c r="B137" s="1" t="s">
        <v>203</v>
      </c>
      <c r="C137" s="1">
        <v>255</v>
      </c>
    </row>
    <row r="138" spans="1:3">
      <c r="A138" s="1" t="s">
        <v>363</v>
      </c>
      <c r="B138" s="1" t="s">
        <v>364</v>
      </c>
      <c r="C138" s="1">
        <v>305</v>
      </c>
    </row>
    <row r="139" spans="1:3">
      <c r="A139" s="1" t="s">
        <v>365</v>
      </c>
      <c r="B139" s="1" t="s">
        <v>203</v>
      </c>
      <c r="C139" s="1">
        <v>301</v>
      </c>
    </row>
    <row r="140" spans="1:3">
      <c r="A140" s="1" t="s">
        <v>366</v>
      </c>
      <c r="B140" s="1" t="s">
        <v>322</v>
      </c>
      <c r="C140" s="1">
        <v>189</v>
      </c>
    </row>
    <row r="141" spans="1:3">
      <c r="A141" s="1" t="s">
        <v>367</v>
      </c>
      <c r="B141" s="1" t="s">
        <v>218</v>
      </c>
      <c r="C141" s="1">
        <v>242</v>
      </c>
    </row>
    <row r="142" spans="1:3">
      <c r="A142" s="1" t="s">
        <v>368</v>
      </c>
      <c r="B142" s="1" t="s">
        <v>203</v>
      </c>
      <c r="C142" s="1">
        <v>223</v>
      </c>
    </row>
    <row r="143" spans="1:3">
      <c r="A143" s="1" t="s">
        <v>369</v>
      </c>
      <c r="B143" s="1" t="s">
        <v>287</v>
      </c>
      <c r="C143" s="1">
        <v>122</v>
      </c>
    </row>
    <row r="144" spans="1:3">
      <c r="A144" s="1" t="s">
        <v>370</v>
      </c>
      <c r="B144" s="1" t="s">
        <v>207</v>
      </c>
      <c r="C144" s="1">
        <v>208</v>
      </c>
    </row>
    <row r="145" spans="1:3">
      <c r="A145" s="1" t="s">
        <v>371</v>
      </c>
      <c r="B145" s="1" t="s">
        <v>205</v>
      </c>
      <c r="C145" s="1">
        <v>277</v>
      </c>
    </row>
    <row r="146" spans="1:3">
      <c r="A146" s="1" t="s">
        <v>195</v>
      </c>
      <c r="B146" s="1" t="s">
        <v>239</v>
      </c>
      <c r="C146" s="1">
        <v>308</v>
      </c>
    </row>
    <row r="147" spans="1:3">
      <c r="A147" s="1" t="s">
        <v>372</v>
      </c>
      <c r="B147" s="1" t="s">
        <v>213</v>
      </c>
      <c r="C147" s="1">
        <v>3</v>
      </c>
    </row>
    <row r="148" spans="1:3">
      <c r="A148" s="1" t="s">
        <v>133</v>
      </c>
      <c r="B148" s="1" t="s">
        <v>373</v>
      </c>
      <c r="C148" s="1">
        <v>96</v>
      </c>
    </row>
    <row r="149" spans="1:3">
      <c r="A149" s="1" t="s">
        <v>374</v>
      </c>
      <c r="B149" s="1" t="s">
        <v>218</v>
      </c>
      <c r="C149" s="1">
        <v>282</v>
      </c>
    </row>
    <row r="150" spans="1:3">
      <c r="A150" s="1" t="s">
        <v>375</v>
      </c>
      <c r="B150" s="1" t="s">
        <v>218</v>
      </c>
      <c r="C150" s="1">
        <v>216</v>
      </c>
    </row>
    <row r="151" spans="1:3">
      <c r="A151" s="1" t="s">
        <v>376</v>
      </c>
      <c r="B151" s="1" t="s">
        <v>260</v>
      </c>
      <c r="C151" s="1">
        <v>239</v>
      </c>
    </row>
    <row r="152" spans="1:3">
      <c r="A152" s="1" t="s">
        <v>377</v>
      </c>
      <c r="B152" s="1" t="s">
        <v>201</v>
      </c>
      <c r="C152" s="1">
        <v>81</v>
      </c>
    </row>
    <row r="153" spans="1:3">
      <c r="A153" s="1" t="s">
        <v>378</v>
      </c>
      <c r="B153" s="1" t="s">
        <v>218</v>
      </c>
      <c r="C153" s="1">
        <v>83</v>
      </c>
    </row>
    <row r="154" spans="1:3">
      <c r="A154" s="1" t="s">
        <v>379</v>
      </c>
      <c r="B154" s="1" t="s">
        <v>218</v>
      </c>
      <c r="C154" s="1">
        <v>293</v>
      </c>
    </row>
    <row r="155" spans="1:3">
      <c r="A155" s="1" t="s">
        <v>380</v>
      </c>
      <c r="B155" s="1" t="s">
        <v>255</v>
      </c>
      <c r="C155" s="1">
        <v>97</v>
      </c>
    </row>
    <row r="156" spans="1:3">
      <c r="A156" s="1" t="s">
        <v>381</v>
      </c>
      <c r="B156" s="1" t="s">
        <v>218</v>
      </c>
      <c r="C156" s="1">
        <v>234</v>
      </c>
    </row>
    <row r="157" spans="1:3">
      <c r="A157" s="1" t="s">
        <v>382</v>
      </c>
      <c r="B157" s="1" t="s">
        <v>218</v>
      </c>
      <c r="C157" s="1">
        <v>179</v>
      </c>
    </row>
    <row r="158" spans="1:3">
      <c r="A158" s="1" t="s">
        <v>383</v>
      </c>
      <c r="B158" s="1" t="s">
        <v>249</v>
      </c>
      <c r="C158" s="1">
        <v>62</v>
      </c>
    </row>
    <row r="159" spans="1:3">
      <c r="A159" s="1" t="s">
        <v>384</v>
      </c>
      <c r="B159" s="1" t="s">
        <v>201</v>
      </c>
      <c r="C159" s="1">
        <v>7</v>
      </c>
    </row>
    <row r="160" spans="1:3">
      <c r="A160" s="1" t="s">
        <v>385</v>
      </c>
      <c r="B160" s="1" t="s">
        <v>201</v>
      </c>
      <c r="C160" s="1">
        <v>273</v>
      </c>
    </row>
    <row r="161" spans="1:3">
      <c r="A161" s="1" t="s">
        <v>386</v>
      </c>
      <c r="B161" s="1" t="s">
        <v>207</v>
      </c>
      <c r="C161" s="1">
        <v>144</v>
      </c>
    </row>
    <row r="162" spans="1:3">
      <c r="A162" s="1" t="s">
        <v>387</v>
      </c>
      <c r="B162" s="1" t="s">
        <v>201</v>
      </c>
      <c r="C162" s="1">
        <v>243</v>
      </c>
    </row>
    <row r="163" spans="1:3">
      <c r="A163" s="1" t="s">
        <v>388</v>
      </c>
      <c r="B163" s="1" t="s">
        <v>203</v>
      </c>
      <c r="C163" s="1">
        <v>82</v>
      </c>
    </row>
    <row r="164" spans="1:3">
      <c r="A164" s="1" t="s">
        <v>389</v>
      </c>
      <c r="B164" s="1" t="s">
        <v>201</v>
      </c>
      <c r="C164" s="1">
        <v>61</v>
      </c>
    </row>
    <row r="165" spans="1:3">
      <c r="A165" s="1" t="s">
        <v>390</v>
      </c>
      <c r="B165" s="1" t="s">
        <v>218</v>
      </c>
      <c r="C165" s="1">
        <v>86</v>
      </c>
    </row>
    <row r="166" spans="1:3">
      <c r="A166" s="1" t="s">
        <v>391</v>
      </c>
      <c r="B166" s="1" t="s">
        <v>207</v>
      </c>
      <c r="C166" s="1">
        <v>231</v>
      </c>
    </row>
    <row r="167" spans="1:3">
      <c r="A167" s="1" t="s">
        <v>392</v>
      </c>
      <c r="B167" s="1" t="s">
        <v>207</v>
      </c>
      <c r="C167" s="1">
        <v>266</v>
      </c>
    </row>
    <row r="168" spans="1:3">
      <c r="A168" s="1" t="s">
        <v>393</v>
      </c>
      <c r="B168" s="1" t="s">
        <v>218</v>
      </c>
      <c r="C168" s="1">
        <v>246</v>
      </c>
    </row>
    <row r="169" spans="1:3">
      <c r="A169" s="1" t="s">
        <v>394</v>
      </c>
      <c r="B169" s="1" t="s">
        <v>218</v>
      </c>
      <c r="C169" s="1">
        <v>294</v>
      </c>
    </row>
    <row r="170" spans="1:3">
      <c r="A170" s="1" t="s">
        <v>395</v>
      </c>
      <c r="B170" s="1" t="s">
        <v>201</v>
      </c>
      <c r="C170" s="1">
        <v>90</v>
      </c>
    </row>
    <row r="171" spans="1:3">
      <c r="A171" s="1" t="s">
        <v>396</v>
      </c>
      <c r="B171" s="1" t="s">
        <v>201</v>
      </c>
      <c r="C171" s="1">
        <v>143</v>
      </c>
    </row>
    <row r="172" spans="1:3">
      <c r="A172" s="1" t="s">
        <v>397</v>
      </c>
      <c r="B172" s="1" t="s">
        <v>218</v>
      </c>
      <c r="C172" s="1">
        <v>146</v>
      </c>
    </row>
    <row r="173" spans="1:3">
      <c r="A173" s="1" t="s">
        <v>398</v>
      </c>
      <c r="B173" s="1" t="s">
        <v>218</v>
      </c>
      <c r="C173" s="1">
        <v>173</v>
      </c>
    </row>
    <row r="174" spans="1:3">
      <c r="A174" s="1" t="s">
        <v>399</v>
      </c>
      <c r="B174" s="1" t="s">
        <v>207</v>
      </c>
      <c r="C174" s="1">
        <v>192</v>
      </c>
    </row>
    <row r="175" spans="1:3">
      <c r="A175" s="1" t="s">
        <v>400</v>
      </c>
      <c r="B175" s="1" t="s">
        <v>207</v>
      </c>
      <c r="C175" s="1">
        <v>37</v>
      </c>
    </row>
    <row r="176" spans="1:3">
      <c r="A176" s="1" t="s">
        <v>401</v>
      </c>
      <c r="B176" s="1" t="s">
        <v>260</v>
      </c>
      <c r="C176" s="1">
        <v>137</v>
      </c>
    </row>
    <row r="177" spans="1:3">
      <c r="A177" s="1" t="s">
        <v>402</v>
      </c>
      <c r="B177" s="1" t="s">
        <v>322</v>
      </c>
      <c r="C177" s="1">
        <v>302</v>
      </c>
    </row>
    <row r="178" spans="1:3">
      <c r="A178" s="1" t="s">
        <v>403</v>
      </c>
      <c r="B178" s="1" t="s">
        <v>322</v>
      </c>
      <c r="C178" s="1">
        <v>109</v>
      </c>
    </row>
    <row r="179" spans="1:3">
      <c r="A179" s="1" t="s">
        <v>404</v>
      </c>
      <c r="B179" s="1" t="s">
        <v>218</v>
      </c>
      <c r="C179" s="1">
        <v>300</v>
      </c>
    </row>
    <row r="180" spans="1:3">
      <c r="A180" s="1" t="s">
        <v>405</v>
      </c>
      <c r="B180" s="1" t="s">
        <v>218</v>
      </c>
      <c r="C180" s="1">
        <v>148</v>
      </c>
    </row>
    <row r="181" spans="1:3">
      <c r="A181" s="1" t="s">
        <v>406</v>
      </c>
      <c r="B181" s="1" t="s">
        <v>203</v>
      </c>
      <c r="C181" s="1">
        <v>291</v>
      </c>
    </row>
    <row r="182" spans="1:3">
      <c r="A182" s="1" t="s">
        <v>407</v>
      </c>
      <c r="B182" s="1" t="s">
        <v>322</v>
      </c>
      <c r="C182" s="1">
        <v>108</v>
      </c>
    </row>
    <row r="183" spans="1:3">
      <c r="A183" s="1" t="s">
        <v>408</v>
      </c>
      <c r="B183" s="1" t="s">
        <v>260</v>
      </c>
      <c r="C183" s="1">
        <v>250</v>
      </c>
    </row>
    <row r="184" spans="1:3">
      <c r="A184" s="1" t="s">
        <v>409</v>
      </c>
      <c r="B184" s="1" t="s">
        <v>410</v>
      </c>
      <c r="C184" s="1">
        <v>48</v>
      </c>
    </row>
    <row r="185" spans="1:3">
      <c r="A185" s="1" t="s">
        <v>411</v>
      </c>
      <c r="B185" s="1" t="s">
        <v>243</v>
      </c>
      <c r="C185" s="1">
        <v>140</v>
      </c>
    </row>
    <row r="186" spans="1:3">
      <c r="A186" s="1" t="s">
        <v>412</v>
      </c>
      <c r="B186" s="1" t="s">
        <v>260</v>
      </c>
      <c r="C186" s="1">
        <v>292</v>
      </c>
    </row>
    <row r="187" spans="1:3">
      <c r="A187" s="1" t="s">
        <v>413</v>
      </c>
      <c r="B187" s="1" t="s">
        <v>260</v>
      </c>
      <c r="C187" s="1">
        <v>6</v>
      </c>
    </row>
    <row r="188" spans="1:3">
      <c r="A188" s="1" t="s">
        <v>414</v>
      </c>
      <c r="B188" s="1" t="s">
        <v>260</v>
      </c>
      <c r="C188" s="1">
        <v>274</v>
      </c>
    </row>
    <row r="189" spans="1:3">
      <c r="A189" s="1" t="s">
        <v>415</v>
      </c>
      <c r="B189" s="1" t="s">
        <v>260</v>
      </c>
      <c r="C189" s="1">
        <v>202</v>
      </c>
    </row>
    <row r="190" spans="1:3">
      <c r="A190" s="1" t="s">
        <v>416</v>
      </c>
      <c r="B190" s="1" t="s">
        <v>260</v>
      </c>
      <c r="C190" s="1">
        <v>159</v>
      </c>
    </row>
    <row r="191" spans="1:3">
      <c r="A191" s="1" t="s">
        <v>417</v>
      </c>
      <c r="B191" s="1" t="s">
        <v>213</v>
      </c>
      <c r="C191" s="1">
        <v>4</v>
      </c>
    </row>
    <row r="192" spans="1:3">
      <c r="A192" s="1" t="s">
        <v>418</v>
      </c>
      <c r="B192" s="1" t="s">
        <v>203</v>
      </c>
      <c r="C192" s="1">
        <v>265</v>
      </c>
    </row>
    <row r="193" spans="1:3">
      <c r="A193" s="1" t="s">
        <v>419</v>
      </c>
      <c r="B193" s="1" t="s">
        <v>218</v>
      </c>
      <c r="C193" s="1">
        <v>257</v>
      </c>
    </row>
    <row r="194" spans="1:3">
      <c r="A194" s="1" t="s">
        <v>420</v>
      </c>
      <c r="B194" s="1" t="s">
        <v>255</v>
      </c>
      <c r="C194" s="1">
        <v>164</v>
      </c>
    </row>
    <row r="195" spans="1:3">
      <c r="A195" s="1" t="s">
        <v>421</v>
      </c>
      <c r="B195" s="1" t="s">
        <v>213</v>
      </c>
      <c r="C195" s="1">
        <v>1</v>
      </c>
    </row>
    <row r="196" spans="1:3">
      <c r="A196" s="1" t="s">
        <v>422</v>
      </c>
      <c r="B196" s="1" t="s">
        <v>410</v>
      </c>
      <c r="C196" s="1">
        <v>156</v>
      </c>
    </row>
    <row r="197" spans="1:3">
      <c r="A197" s="1" t="s">
        <v>423</v>
      </c>
      <c r="B197" s="1" t="s">
        <v>207</v>
      </c>
      <c r="C197" s="1">
        <v>165</v>
      </c>
    </row>
    <row r="198" spans="1:3">
      <c r="A198" s="1" t="s">
        <v>424</v>
      </c>
      <c r="B198" s="1" t="s">
        <v>207</v>
      </c>
      <c r="C198" s="1">
        <v>194</v>
      </c>
    </row>
    <row r="199" spans="1:3">
      <c r="A199" s="1" t="s">
        <v>425</v>
      </c>
      <c r="B199" s="1" t="s">
        <v>255</v>
      </c>
      <c r="C199" s="1">
        <v>187</v>
      </c>
    </row>
    <row r="200" spans="1:3">
      <c r="A200" s="1" t="s">
        <v>121</v>
      </c>
      <c r="B200" s="1" t="s">
        <v>287</v>
      </c>
      <c r="C200" s="1">
        <v>18</v>
      </c>
    </row>
    <row r="201" spans="1:3">
      <c r="A201" s="1" t="s">
        <v>426</v>
      </c>
      <c r="B201" s="1" t="s">
        <v>201</v>
      </c>
      <c r="C201" s="1">
        <v>50</v>
      </c>
    </row>
    <row r="202" spans="1:3">
      <c r="A202" s="1" t="s">
        <v>427</v>
      </c>
      <c r="B202" s="1" t="s">
        <v>218</v>
      </c>
      <c r="C202" s="1">
        <v>232</v>
      </c>
    </row>
    <row r="203" spans="1:3">
      <c r="A203" s="1" t="s">
        <v>428</v>
      </c>
      <c r="B203" s="1" t="s">
        <v>260</v>
      </c>
      <c r="C203" s="1">
        <v>182</v>
      </c>
    </row>
    <row r="204" spans="1:3">
      <c r="A204" s="1" t="s">
        <v>429</v>
      </c>
      <c r="B204" s="1" t="s">
        <v>260</v>
      </c>
      <c r="C204" s="1">
        <v>185</v>
      </c>
    </row>
    <row r="205" spans="1:3">
      <c r="A205" s="1" t="s">
        <v>430</v>
      </c>
      <c r="B205" s="1" t="s">
        <v>322</v>
      </c>
      <c r="C205" s="1">
        <v>77</v>
      </c>
    </row>
    <row r="206" spans="1:3">
      <c r="A206" s="1" t="s">
        <v>431</v>
      </c>
      <c r="B206" s="1" t="s">
        <v>218</v>
      </c>
      <c r="C206" s="1">
        <v>270</v>
      </c>
    </row>
    <row r="207" spans="1:3">
      <c r="A207" s="1" t="s">
        <v>432</v>
      </c>
      <c r="B207" s="1" t="s">
        <v>302</v>
      </c>
      <c r="C207" s="1">
        <v>56</v>
      </c>
    </row>
    <row r="208" spans="1:3">
      <c r="A208" s="1" t="s">
        <v>433</v>
      </c>
      <c r="B208" s="1" t="s">
        <v>218</v>
      </c>
      <c r="C208" s="1">
        <v>235</v>
      </c>
    </row>
    <row r="209" spans="1:3">
      <c r="A209" s="1" t="s">
        <v>434</v>
      </c>
      <c r="B209" s="1" t="s">
        <v>218</v>
      </c>
      <c r="C209" s="1">
        <v>260</v>
      </c>
    </row>
    <row r="210" spans="1:3">
      <c r="A210" s="1" t="s">
        <v>435</v>
      </c>
      <c r="B210" s="1" t="s">
        <v>243</v>
      </c>
      <c r="C210" s="1">
        <v>95</v>
      </c>
    </row>
    <row r="211" spans="1:3">
      <c r="A211" s="1" t="s">
        <v>436</v>
      </c>
      <c r="B211" s="1" t="s">
        <v>205</v>
      </c>
      <c r="C211" s="1">
        <v>279</v>
      </c>
    </row>
    <row r="212" spans="1:3">
      <c r="A212" s="1" t="s">
        <v>437</v>
      </c>
      <c r="B212" s="1" t="s">
        <v>201</v>
      </c>
      <c r="C212" s="1">
        <v>59</v>
      </c>
    </row>
    <row r="213" spans="1:3">
      <c r="A213" s="1" t="s">
        <v>438</v>
      </c>
      <c r="B213" s="1" t="s">
        <v>439</v>
      </c>
      <c r="C213" s="1">
        <v>230</v>
      </c>
    </row>
    <row r="214" spans="1:3">
      <c r="A214" s="1" t="s">
        <v>440</v>
      </c>
      <c r="B214" s="1" t="s">
        <v>218</v>
      </c>
      <c r="C214" s="1">
        <v>269</v>
      </c>
    </row>
    <row r="215" spans="1:3">
      <c r="A215" s="1" t="s">
        <v>441</v>
      </c>
      <c r="B215" s="1" t="s">
        <v>207</v>
      </c>
      <c r="C215" s="1">
        <v>73</v>
      </c>
    </row>
    <row r="216" spans="1:3">
      <c r="A216" s="1" t="s">
        <v>442</v>
      </c>
      <c r="B216" s="1" t="s">
        <v>207</v>
      </c>
      <c r="C216" s="1">
        <v>217</v>
      </c>
    </row>
    <row r="217" spans="1:3">
      <c r="A217" s="1" t="s">
        <v>443</v>
      </c>
      <c r="B217" s="1" t="s">
        <v>207</v>
      </c>
      <c r="C217" s="1">
        <v>288</v>
      </c>
    </row>
    <row r="218" spans="1:3">
      <c r="A218" s="1" t="s">
        <v>444</v>
      </c>
      <c r="B218" s="1" t="s">
        <v>255</v>
      </c>
      <c r="C218" s="1">
        <v>264</v>
      </c>
    </row>
    <row r="219" spans="1:3">
      <c r="A219" s="1" t="s">
        <v>445</v>
      </c>
      <c r="B219" s="1" t="s">
        <v>218</v>
      </c>
      <c r="C219" s="1">
        <v>226</v>
      </c>
    </row>
    <row r="220" spans="1:3">
      <c r="A220" s="1" t="s">
        <v>446</v>
      </c>
      <c r="B220" s="1" t="s">
        <v>255</v>
      </c>
      <c r="C220" s="1">
        <v>158</v>
      </c>
    </row>
    <row r="221" spans="1:3">
      <c r="A221" s="1" t="s">
        <v>447</v>
      </c>
      <c r="B221" s="1" t="s">
        <v>218</v>
      </c>
      <c r="C221" s="1">
        <v>253</v>
      </c>
    </row>
    <row r="222" spans="1:3">
      <c r="A222" s="1" t="s">
        <v>448</v>
      </c>
      <c r="B222" s="1" t="s">
        <v>236</v>
      </c>
      <c r="C222" s="1">
        <v>44</v>
      </c>
    </row>
    <row r="223" spans="1:3">
      <c r="A223" s="1" t="s">
        <v>449</v>
      </c>
      <c r="B223" s="1" t="s">
        <v>207</v>
      </c>
      <c r="C223" s="1">
        <v>180</v>
      </c>
    </row>
    <row r="224" spans="1:3">
      <c r="A224" s="1" t="s">
        <v>450</v>
      </c>
      <c r="B224" s="1" t="s">
        <v>207</v>
      </c>
      <c r="C224" s="1">
        <v>191</v>
      </c>
    </row>
    <row r="225" spans="1:3">
      <c r="A225" s="1" t="s">
        <v>451</v>
      </c>
      <c r="B225" s="1" t="s">
        <v>255</v>
      </c>
      <c r="C225" s="1">
        <v>21</v>
      </c>
    </row>
    <row r="226" spans="1:3">
      <c r="A226" s="1" t="s">
        <v>452</v>
      </c>
      <c r="B226" s="1" t="s">
        <v>207</v>
      </c>
      <c r="C226" s="1">
        <v>136</v>
      </c>
    </row>
    <row r="227" spans="1:3">
      <c r="A227" s="1" t="s">
        <v>453</v>
      </c>
      <c r="B227" s="1" t="s">
        <v>454</v>
      </c>
      <c r="C227" s="1">
        <v>161</v>
      </c>
    </row>
    <row r="228" spans="1:3">
      <c r="A228" s="1" t="s">
        <v>455</v>
      </c>
      <c r="B228" s="1" t="s">
        <v>255</v>
      </c>
      <c r="C228" s="1">
        <v>103</v>
      </c>
    </row>
    <row r="229" spans="1:3">
      <c r="A229" s="1" t="s">
        <v>456</v>
      </c>
      <c r="B229" s="1" t="s">
        <v>218</v>
      </c>
      <c r="C229" s="1">
        <v>268</v>
      </c>
    </row>
    <row r="230" spans="1:3">
      <c r="A230" s="1" t="s">
        <v>457</v>
      </c>
      <c r="B230" s="1" t="s">
        <v>199</v>
      </c>
      <c r="C230" s="1">
        <v>286</v>
      </c>
    </row>
    <row r="231" spans="1:3">
      <c r="A231" s="1" t="s">
        <v>458</v>
      </c>
      <c r="B231" s="1" t="s">
        <v>218</v>
      </c>
      <c r="C231" s="1">
        <v>251</v>
      </c>
    </row>
    <row r="232" spans="1:3">
      <c r="A232" s="1" t="s">
        <v>459</v>
      </c>
      <c r="B232" s="1" t="s">
        <v>322</v>
      </c>
      <c r="C232" s="1">
        <v>170</v>
      </c>
    </row>
    <row r="233" spans="1:3">
      <c r="A233" s="1" t="s">
        <v>460</v>
      </c>
      <c r="B233" s="1" t="s">
        <v>322</v>
      </c>
      <c r="C233" s="1">
        <v>289</v>
      </c>
    </row>
    <row r="234" spans="1:3">
      <c r="A234" s="1" t="s">
        <v>461</v>
      </c>
      <c r="B234" s="1" t="s">
        <v>285</v>
      </c>
      <c r="C234" s="1">
        <v>174</v>
      </c>
    </row>
    <row r="235" spans="1:3">
      <c r="A235" s="1" t="s">
        <v>462</v>
      </c>
      <c r="B235" s="1" t="s">
        <v>203</v>
      </c>
      <c r="C235" s="1">
        <v>186</v>
      </c>
    </row>
    <row r="236" spans="1:3">
      <c r="A236" s="1" t="s">
        <v>463</v>
      </c>
      <c r="B236" s="1" t="s">
        <v>201</v>
      </c>
      <c r="C236" s="1">
        <v>55</v>
      </c>
    </row>
    <row r="237" spans="1:3">
      <c r="A237" s="1" t="s">
        <v>464</v>
      </c>
      <c r="B237" s="1" t="s">
        <v>287</v>
      </c>
      <c r="C237" s="1">
        <v>58</v>
      </c>
    </row>
    <row r="238" spans="1:3">
      <c r="A238" s="1" t="s">
        <v>465</v>
      </c>
      <c r="B238" s="1" t="s">
        <v>239</v>
      </c>
      <c r="C238" s="1">
        <v>93</v>
      </c>
    </row>
    <row r="239" spans="1:3">
      <c r="A239" s="1" t="s">
        <v>466</v>
      </c>
      <c r="B239" s="1" t="s">
        <v>255</v>
      </c>
      <c r="C239" s="1">
        <v>138</v>
      </c>
    </row>
    <row r="240" spans="1:3">
      <c r="A240" s="1" t="s">
        <v>467</v>
      </c>
      <c r="B240" s="1" t="s">
        <v>207</v>
      </c>
      <c r="C240" s="1">
        <v>110</v>
      </c>
    </row>
    <row r="241" spans="1:3">
      <c r="A241" s="1" t="s">
        <v>468</v>
      </c>
      <c r="B241" s="1" t="s">
        <v>207</v>
      </c>
      <c r="C241" s="1">
        <v>131</v>
      </c>
    </row>
    <row r="242" spans="1:3">
      <c r="A242" s="1" t="s">
        <v>469</v>
      </c>
      <c r="B242" s="1" t="s">
        <v>218</v>
      </c>
      <c r="C242" s="1">
        <v>249</v>
      </c>
    </row>
    <row r="243" spans="1:3">
      <c r="A243" s="1" t="s">
        <v>470</v>
      </c>
      <c r="B243" s="1" t="s">
        <v>207</v>
      </c>
      <c r="C243" s="1">
        <v>145</v>
      </c>
    </row>
    <row r="244" spans="1:3">
      <c r="A244" s="1" t="s">
        <v>471</v>
      </c>
      <c r="B244" s="1" t="s">
        <v>207</v>
      </c>
      <c r="C244" s="1">
        <v>112</v>
      </c>
    </row>
    <row r="245" spans="1:3">
      <c r="A245" s="1" t="s">
        <v>472</v>
      </c>
      <c r="B245" s="1" t="s">
        <v>291</v>
      </c>
      <c r="C245" s="1">
        <v>46</v>
      </c>
    </row>
    <row r="246" spans="1:3">
      <c r="A246" s="1" t="s">
        <v>473</v>
      </c>
      <c r="B246" s="1" t="s">
        <v>255</v>
      </c>
      <c r="C246" s="1">
        <v>105</v>
      </c>
    </row>
    <row r="247" spans="1:3">
      <c r="A247" s="1" t="s">
        <v>474</v>
      </c>
      <c r="B247" s="1" t="s">
        <v>243</v>
      </c>
      <c r="C247" s="1">
        <v>201</v>
      </c>
    </row>
    <row r="248" spans="1:3">
      <c r="A248" s="1" t="s">
        <v>475</v>
      </c>
      <c r="B248" s="1" t="s">
        <v>285</v>
      </c>
      <c r="C248" s="1">
        <v>152</v>
      </c>
    </row>
    <row r="249" spans="1:3">
      <c r="A249" s="1" t="s">
        <v>476</v>
      </c>
      <c r="B249" s="1" t="s">
        <v>218</v>
      </c>
      <c r="C249" s="1">
        <v>248</v>
      </c>
    </row>
    <row r="250" spans="1:3">
      <c r="A250" s="1" t="s">
        <v>477</v>
      </c>
      <c r="B250" s="1" t="s">
        <v>203</v>
      </c>
      <c r="C250" s="1">
        <v>38</v>
      </c>
    </row>
    <row r="251" spans="1:3">
      <c r="A251" s="1" t="s">
        <v>478</v>
      </c>
      <c r="B251" s="1" t="s">
        <v>322</v>
      </c>
      <c r="C251" s="1">
        <v>169</v>
      </c>
    </row>
    <row r="252" spans="1:3">
      <c r="A252" s="1" t="s">
        <v>479</v>
      </c>
      <c r="B252" s="1" t="s">
        <v>199</v>
      </c>
      <c r="C252" s="1">
        <v>240</v>
      </c>
    </row>
    <row r="253" spans="1:3">
      <c r="A253" s="1" t="s">
        <v>480</v>
      </c>
      <c r="B253" s="1" t="s">
        <v>218</v>
      </c>
      <c r="C253" s="1">
        <v>238</v>
      </c>
    </row>
    <row r="254" spans="1:3">
      <c r="A254" s="1" t="s">
        <v>481</v>
      </c>
      <c r="B254" s="1" t="s">
        <v>255</v>
      </c>
      <c r="C254" s="1">
        <v>184</v>
      </c>
    </row>
    <row r="255" spans="1:3">
      <c r="A255" s="1" t="s">
        <v>482</v>
      </c>
      <c r="B255" s="1" t="s">
        <v>243</v>
      </c>
      <c r="C255" s="1">
        <v>236</v>
      </c>
    </row>
    <row r="256" spans="1:3">
      <c r="A256" s="1" t="s">
        <v>483</v>
      </c>
      <c r="B256" s="1" t="s">
        <v>287</v>
      </c>
      <c r="C256" s="1">
        <v>71</v>
      </c>
    </row>
    <row r="257" spans="1:3">
      <c r="A257" s="1" t="s">
        <v>484</v>
      </c>
      <c r="B257" s="1" t="s">
        <v>203</v>
      </c>
      <c r="C257" s="1">
        <v>220</v>
      </c>
    </row>
    <row r="258" spans="1:3">
      <c r="A258" s="1" t="s">
        <v>485</v>
      </c>
      <c r="B258" s="1" t="s">
        <v>260</v>
      </c>
      <c r="C258" s="1">
        <v>114</v>
      </c>
    </row>
    <row r="259" spans="1:3">
      <c r="A259" s="1" t="s">
        <v>486</v>
      </c>
      <c r="B259" s="1" t="s">
        <v>260</v>
      </c>
      <c r="C259" s="1">
        <v>135</v>
      </c>
    </row>
    <row r="260" spans="1:3">
      <c r="A260" s="1" t="s">
        <v>487</v>
      </c>
      <c r="B260" s="1" t="s">
        <v>203</v>
      </c>
      <c r="C260" s="1">
        <v>193</v>
      </c>
    </row>
    <row r="261" spans="1:3">
      <c r="A261" s="1" t="s">
        <v>488</v>
      </c>
      <c r="B261" s="1" t="s">
        <v>201</v>
      </c>
      <c r="C261" s="1">
        <v>123</v>
      </c>
    </row>
    <row r="262" spans="1:3">
      <c r="A262" s="1" t="s">
        <v>489</v>
      </c>
      <c r="B262" s="1" t="s">
        <v>243</v>
      </c>
      <c r="C262" s="1">
        <v>303</v>
      </c>
    </row>
    <row r="263" spans="1:3">
      <c r="A263" s="1" t="s">
        <v>490</v>
      </c>
      <c r="B263" s="1" t="s">
        <v>201</v>
      </c>
      <c r="C263" s="1">
        <v>139</v>
      </c>
    </row>
    <row r="264" spans="1:3">
      <c r="A264" s="1" t="s">
        <v>116</v>
      </c>
      <c r="B264" s="1" t="s">
        <v>287</v>
      </c>
      <c r="C264" s="1">
        <v>128</v>
      </c>
    </row>
    <row r="265" spans="1:3">
      <c r="A265" s="1" t="s">
        <v>491</v>
      </c>
      <c r="B265" s="1" t="s">
        <v>218</v>
      </c>
      <c r="C265" s="1">
        <v>296</v>
      </c>
    </row>
    <row r="266" spans="1:3">
      <c r="A266" s="1" t="s">
        <v>492</v>
      </c>
      <c r="B266" s="1" t="s">
        <v>203</v>
      </c>
      <c r="C266" s="1">
        <v>221</v>
      </c>
    </row>
    <row r="267" spans="1:3">
      <c r="A267" s="1" t="s">
        <v>493</v>
      </c>
      <c r="B267" s="1" t="s">
        <v>205</v>
      </c>
      <c r="C267" s="1">
        <v>278</v>
      </c>
    </row>
    <row r="268" spans="1:3">
      <c r="A268" s="1" t="s">
        <v>494</v>
      </c>
      <c r="B268" s="1" t="s">
        <v>218</v>
      </c>
      <c r="C268" s="1">
        <v>295</v>
      </c>
    </row>
    <row r="269" spans="1:3">
      <c r="A269" s="1" t="s">
        <v>495</v>
      </c>
      <c r="B269" s="1" t="s">
        <v>203</v>
      </c>
      <c r="C269" s="1">
        <v>225</v>
      </c>
    </row>
    <row r="270" spans="1:3">
      <c r="A270" s="1" t="s">
        <v>496</v>
      </c>
      <c r="B270" s="1" t="s">
        <v>236</v>
      </c>
      <c r="C270" s="1">
        <v>120</v>
      </c>
    </row>
    <row r="271" spans="1:3">
      <c r="A271" s="1" t="s">
        <v>497</v>
      </c>
      <c r="B271" s="1" t="s">
        <v>207</v>
      </c>
      <c r="C271" s="1">
        <v>195</v>
      </c>
    </row>
    <row r="272" spans="1:3">
      <c r="A272" s="1" t="s">
        <v>498</v>
      </c>
      <c r="B272" s="1" t="s">
        <v>255</v>
      </c>
      <c r="C272" s="1">
        <v>106</v>
      </c>
    </row>
    <row r="273" spans="1:3">
      <c r="A273" s="1" t="s">
        <v>499</v>
      </c>
      <c r="B273" s="1" t="s">
        <v>255</v>
      </c>
      <c r="C273" s="1">
        <v>197</v>
      </c>
    </row>
    <row r="274" spans="1:3">
      <c r="A274" s="1" t="s">
        <v>500</v>
      </c>
      <c r="B274" s="1" t="s">
        <v>454</v>
      </c>
      <c r="C274" s="1">
        <v>199</v>
      </c>
    </row>
    <row r="275" spans="1:3">
      <c r="A275" s="1"/>
      <c r="B275" s="1"/>
      <c r="C275" s="1"/>
    </row>
    <row r="276" spans="1:3">
      <c r="A276" s="1"/>
      <c r="B276" s="1"/>
      <c r="C276" s="1"/>
    </row>
    <row r="277" spans="1:3">
      <c r="A277" s="1"/>
      <c r="B277" s="1"/>
      <c r="C277" s="1"/>
    </row>
    <row r="278" spans="1:3">
      <c r="A278" s="1"/>
      <c r="B278" s="1"/>
      <c r="C278" s="1"/>
    </row>
    <row r="279" spans="1:3">
      <c r="A279" s="1"/>
      <c r="B279" s="1"/>
      <c r="C279" s="1"/>
    </row>
    <row r="280" spans="1:3">
      <c r="A280" s="1"/>
      <c r="B280" s="1"/>
      <c r="C280" s="1"/>
    </row>
    <row r="281" spans="1:3">
      <c r="A281" s="1"/>
      <c r="B281" s="1"/>
      <c r="C281" s="1"/>
    </row>
    <row r="282" spans="1:3">
      <c r="A282" s="1"/>
      <c r="B282" s="1"/>
      <c r="C282" s="1"/>
    </row>
    <row r="283" spans="1:3">
      <c r="A283" s="1"/>
      <c r="B283" s="1"/>
      <c r="C283" s="1"/>
    </row>
    <row r="284" spans="1:3">
      <c r="A284" s="1"/>
      <c r="B284" s="1"/>
      <c r="C284" s="1"/>
    </row>
    <row r="285" spans="1:3">
      <c r="A285" s="1"/>
      <c r="B285" s="1"/>
      <c r="C285" s="1"/>
    </row>
    <row r="286" spans="1:3">
      <c r="A286" s="1"/>
      <c r="B286" s="1"/>
      <c r="C286" s="1"/>
    </row>
    <row r="287" spans="1:3">
      <c r="A287" s="1"/>
      <c r="B287" s="1"/>
      <c r="C287" s="1"/>
    </row>
    <row r="288" spans="1:3">
      <c r="A288" s="1"/>
      <c r="B288" s="1"/>
      <c r="C288" s="1"/>
    </row>
    <row r="289" spans="1:3">
      <c r="A289" s="1"/>
      <c r="B289" s="1"/>
      <c r="C289" s="1"/>
    </row>
    <row r="290" spans="1:3">
      <c r="A290" s="1"/>
      <c r="B290" s="1"/>
      <c r="C290" s="1"/>
    </row>
    <row r="291" spans="1:3">
      <c r="A291" s="1"/>
      <c r="B291" s="1"/>
      <c r="C291" s="1"/>
    </row>
    <row r="292" spans="1:3">
      <c r="A292" s="1"/>
      <c r="B292" s="1"/>
      <c r="C292" s="1"/>
    </row>
    <row r="293" spans="1:3">
      <c r="A293" s="1"/>
      <c r="B293" s="1"/>
      <c r="C293" s="1"/>
    </row>
    <row r="294" spans="1:3">
      <c r="A294" s="1"/>
      <c r="B294" s="1"/>
      <c r="C294" s="1"/>
    </row>
    <row r="295" spans="1:3">
      <c r="A295" s="1"/>
      <c r="B295" s="1"/>
      <c r="C295" s="1"/>
    </row>
    <row r="296" spans="1:3">
      <c r="A296" s="1"/>
      <c r="B296" s="1"/>
      <c r="C296" s="1"/>
    </row>
    <row r="297" spans="1:3">
      <c r="A297" s="1"/>
      <c r="B297" s="1"/>
      <c r="C297" s="1"/>
    </row>
    <row r="298" spans="1:3">
      <c r="A298" s="1"/>
      <c r="B298" s="1"/>
      <c r="C298" s="1"/>
    </row>
    <row r="299" spans="1:3">
      <c r="A299" s="1"/>
      <c r="B299" s="1"/>
      <c r="C299" s="1"/>
    </row>
    <row r="300" spans="1:3">
      <c r="A300" s="1"/>
      <c r="B300" s="1"/>
      <c r="C300" s="1"/>
    </row>
    <row r="301" spans="1:3">
      <c r="A301" s="1"/>
      <c r="B301" s="1"/>
      <c r="C301" s="1"/>
    </row>
    <row r="302" spans="1:3">
      <c r="A302" s="1"/>
      <c r="B302" s="1"/>
      <c r="C302" s="1"/>
    </row>
    <row r="303" spans="1:3">
      <c r="A303" s="1"/>
      <c r="B303" s="1"/>
      <c r="C303" s="1"/>
    </row>
    <row r="304" spans="1:3">
      <c r="A304" s="1"/>
      <c r="B304" s="1"/>
      <c r="C304" s="1"/>
    </row>
    <row r="305" spans="1:3">
      <c r="A305" s="1"/>
      <c r="B305" s="1"/>
      <c r="C305" s="1"/>
    </row>
    <row r="306" spans="1:3">
      <c r="A306" s="1"/>
      <c r="B306" s="1"/>
      <c r="C306" s="1"/>
    </row>
    <row r="307" spans="1:3">
      <c r="A307" s="1"/>
      <c r="B307" s="1"/>
      <c r="C307" s="1"/>
    </row>
    <row r="308" spans="1:3">
      <c r="A308" s="1"/>
      <c r="B308" s="1"/>
      <c r="C308" s="1"/>
    </row>
    <row r="309" spans="1:3">
      <c r="A309" s="1"/>
      <c r="B309" s="1"/>
      <c r="C309" s="1"/>
    </row>
    <row r="310" spans="1:3">
      <c r="A310" s="1"/>
      <c r="B310" s="1"/>
      <c r="C310" s="1"/>
    </row>
    <row r="311" spans="1:3">
      <c r="A311" s="1"/>
      <c r="B311" s="1"/>
      <c r="C311" s="1"/>
    </row>
    <row r="312" spans="1:3">
      <c r="A312" s="1"/>
      <c r="B312" s="1"/>
      <c r="C312" s="1"/>
    </row>
    <row r="313" spans="1:3">
      <c r="A313" s="1"/>
      <c r="B313" s="1"/>
      <c r="C313" s="1"/>
    </row>
    <row r="314" spans="1:3">
      <c r="A314" s="1"/>
      <c r="B314" s="1"/>
      <c r="C314" s="1"/>
    </row>
    <row r="315" spans="1:3">
      <c r="A315" s="1"/>
      <c r="B315" s="1"/>
      <c r="C315" s="1"/>
    </row>
    <row r="316" spans="1:3">
      <c r="A316" s="1"/>
      <c r="B316" s="1"/>
      <c r="C316" s="1"/>
    </row>
    <row r="317" spans="1:3">
      <c r="A317" s="1"/>
      <c r="B317" s="1"/>
      <c r="C317" s="1"/>
    </row>
    <row r="318" spans="1:3">
      <c r="A318" s="1"/>
      <c r="B318" s="1"/>
      <c r="C318" s="1"/>
    </row>
    <row r="319" spans="1:3">
      <c r="A319" s="1"/>
      <c r="B319" s="1"/>
      <c r="C319" s="1"/>
    </row>
    <row r="320" spans="1:3">
      <c r="A320" s="1"/>
      <c r="B320" s="1"/>
      <c r="C320" s="1"/>
    </row>
    <row r="321" spans="1:3">
      <c r="A321" s="1"/>
      <c r="B321" s="1"/>
      <c r="C321" s="1"/>
    </row>
    <row r="322" spans="1:3">
      <c r="A322" s="1"/>
      <c r="B322" s="1"/>
      <c r="C322" s="1"/>
    </row>
    <row r="323" spans="1:3">
      <c r="A323" s="1"/>
      <c r="B323" s="1"/>
      <c r="C323" s="1"/>
    </row>
    <row r="324" spans="1:3">
      <c r="A324" s="1"/>
      <c r="B324" s="1"/>
      <c r="C324" s="1"/>
    </row>
    <row r="325" spans="1:3">
      <c r="A325" s="1"/>
      <c r="B325" s="1"/>
      <c r="C325" s="1"/>
    </row>
    <row r="326" spans="1:3">
      <c r="A326" s="1"/>
      <c r="B326" s="1"/>
      <c r="C326" s="1"/>
    </row>
    <row r="327" spans="1:3">
      <c r="A327" s="1"/>
      <c r="B327" s="1"/>
      <c r="C327" s="1"/>
    </row>
    <row r="328" spans="1:3">
      <c r="A328" s="1"/>
      <c r="B328" s="1"/>
      <c r="C328" s="1"/>
    </row>
    <row r="329" spans="1:3">
      <c r="A329" s="1"/>
      <c r="B329" s="1"/>
      <c r="C329" s="1"/>
    </row>
    <row r="330" spans="1:3">
      <c r="A330" s="1"/>
      <c r="B330" s="1"/>
      <c r="C330" s="1"/>
    </row>
    <row r="331" spans="1:3">
      <c r="A331" s="1"/>
      <c r="B331" s="1"/>
      <c r="C331" s="1"/>
    </row>
    <row r="332" spans="1:3">
      <c r="A332" s="1"/>
      <c r="B332" s="1"/>
      <c r="C332" s="1"/>
    </row>
    <row r="333" spans="1:3">
      <c r="A333" s="1"/>
      <c r="B333" s="1"/>
      <c r="C333" s="1"/>
    </row>
    <row r="334" spans="1:3">
      <c r="A334" s="1"/>
      <c r="B334" s="1"/>
      <c r="C334" s="1"/>
    </row>
    <row r="335" spans="1:3">
      <c r="A335" s="1"/>
      <c r="B335" s="1"/>
      <c r="C335" s="1"/>
    </row>
    <row r="336" spans="1:3">
      <c r="A336" s="1"/>
      <c r="B336" s="1"/>
      <c r="C336" s="1"/>
    </row>
    <row r="337" spans="1:3">
      <c r="A337" s="1"/>
      <c r="B337" s="1"/>
      <c r="C337" s="1"/>
    </row>
    <row r="338" spans="1:3">
      <c r="A338" s="1"/>
      <c r="B338" s="1"/>
      <c r="C338" s="1"/>
    </row>
    <row r="339" spans="1:3">
      <c r="A339" s="1"/>
      <c r="B339" s="1"/>
      <c r="C339" s="1"/>
    </row>
    <row r="340" spans="1:3">
      <c r="A340" s="1"/>
      <c r="B340" s="1"/>
      <c r="C340" s="1"/>
    </row>
    <row r="341" spans="1:3">
      <c r="A341" s="1"/>
      <c r="B341" s="1"/>
      <c r="C341" s="1"/>
    </row>
    <row r="342" spans="1:3">
      <c r="A342" s="1"/>
      <c r="B342" s="1"/>
      <c r="C342" s="1"/>
    </row>
    <row r="343" spans="1:3">
      <c r="A343" s="1"/>
      <c r="B343" s="1"/>
      <c r="C343" s="1"/>
    </row>
    <row r="344" spans="1:3">
      <c r="A344" s="1"/>
      <c r="B344" s="1"/>
      <c r="C344" s="1"/>
    </row>
    <row r="345" spans="1:3">
      <c r="A345" s="1"/>
      <c r="B345" s="1"/>
      <c r="C345" s="1"/>
    </row>
    <row r="346" spans="1:3">
      <c r="A346" s="1"/>
      <c r="B346" s="1"/>
      <c r="C346" s="1"/>
    </row>
    <row r="347" spans="1:3">
      <c r="A347" s="1"/>
      <c r="B347" s="1"/>
      <c r="C347" s="1"/>
    </row>
    <row r="348" spans="1:3">
      <c r="A348" s="1"/>
      <c r="B348" s="1"/>
      <c r="C348" s="1"/>
    </row>
    <row r="349" spans="1:3">
      <c r="A349" s="1"/>
      <c r="B349" s="1"/>
      <c r="C349" s="1"/>
    </row>
    <row r="350" spans="1:3">
      <c r="A350" s="1"/>
      <c r="B350" s="1"/>
      <c r="C350" s="1"/>
    </row>
    <row r="351" spans="1:3">
      <c r="A351" s="1"/>
      <c r="B351" s="1"/>
      <c r="C351" s="1"/>
    </row>
    <row r="352" spans="1:3">
      <c r="A352" s="1"/>
      <c r="B352" s="1"/>
      <c r="C352" s="1"/>
    </row>
    <row r="353" spans="1:3">
      <c r="A353" s="1"/>
      <c r="B353" s="1"/>
      <c r="C353" s="1"/>
    </row>
    <row r="354" spans="1:3">
      <c r="A354" s="1"/>
      <c r="B354" s="1"/>
      <c r="C354" s="1"/>
    </row>
    <row r="355" spans="1:3">
      <c r="A355" s="1"/>
      <c r="B355" s="1"/>
      <c r="C355" s="1"/>
    </row>
    <row r="356" spans="1:3">
      <c r="A356" s="1"/>
      <c r="B356" s="1"/>
      <c r="C356" s="1"/>
    </row>
    <row r="357" spans="1:3">
      <c r="A357" s="1"/>
      <c r="B357" s="1"/>
      <c r="C357" s="1"/>
    </row>
    <row r="358" spans="1:3">
      <c r="A358" s="1"/>
      <c r="B358" s="1"/>
      <c r="C358" s="1"/>
    </row>
    <row r="359" spans="1:3">
      <c r="A359" s="1"/>
      <c r="B359" s="1"/>
      <c r="C359" s="1"/>
    </row>
    <row r="360" spans="1:3">
      <c r="A360" s="1"/>
      <c r="B360" s="1"/>
      <c r="C360" s="1"/>
    </row>
    <row r="361" spans="1:3">
      <c r="A361" s="1"/>
      <c r="B361" s="1"/>
      <c r="C361" s="1"/>
    </row>
    <row r="362" spans="1:3">
      <c r="A362" s="1"/>
      <c r="B362" s="1"/>
      <c r="C362" s="1"/>
    </row>
    <row r="363" spans="1:3">
      <c r="A363" s="1"/>
      <c r="B363" s="1"/>
      <c r="C363" s="1"/>
    </row>
    <row r="364" spans="1:3">
      <c r="A364" s="1"/>
      <c r="B364" s="1"/>
      <c r="C364" s="1"/>
    </row>
    <row r="365" spans="1:3">
      <c r="A365" s="1"/>
      <c r="B365" s="1"/>
      <c r="C365" s="1"/>
    </row>
    <row r="366" spans="1:3">
      <c r="A366" s="1"/>
      <c r="B366" s="1"/>
      <c r="C366" s="1"/>
    </row>
    <row r="367" spans="1:3">
      <c r="A367" s="1"/>
      <c r="B367" s="1"/>
      <c r="C367" s="1"/>
    </row>
    <row r="368" spans="1:3">
      <c r="A368" s="1"/>
      <c r="B368" s="1"/>
      <c r="C368" s="1"/>
    </row>
    <row r="369" spans="1:3">
      <c r="A369" s="1"/>
      <c r="B369" s="1"/>
      <c r="C369" s="1"/>
    </row>
    <row r="370" spans="1:3">
      <c r="A370" s="1"/>
      <c r="B370" s="1"/>
      <c r="C370" s="1"/>
    </row>
    <row r="371" spans="1:3">
      <c r="A371" s="1"/>
      <c r="B371" s="1"/>
      <c r="C371" s="1"/>
    </row>
    <row r="372" spans="1:3">
      <c r="A372" s="1"/>
      <c r="B372" s="1"/>
      <c r="C372" s="1"/>
    </row>
    <row r="373" spans="1:3">
      <c r="A373" s="1"/>
      <c r="B373" s="1"/>
      <c r="C373" s="1"/>
    </row>
    <row r="374" spans="1:3">
      <c r="A374" s="1"/>
      <c r="B374" s="1"/>
      <c r="C374" s="1"/>
    </row>
    <row r="375" spans="1:3">
      <c r="A375" s="1"/>
      <c r="B375" s="1"/>
      <c r="C375" s="1"/>
    </row>
    <row r="376" spans="1:3">
      <c r="A376" s="1"/>
      <c r="B376" s="1"/>
      <c r="C376" s="1"/>
    </row>
    <row r="377" spans="1:3">
      <c r="A377" s="1"/>
      <c r="B377" s="1"/>
      <c r="C377" s="1"/>
    </row>
    <row r="378" spans="1:3">
      <c r="A378" s="1"/>
      <c r="B378" s="1"/>
      <c r="C378" s="1"/>
    </row>
    <row r="379" spans="1:3">
      <c r="A379" s="1"/>
      <c r="B379" s="1"/>
      <c r="C379" s="1"/>
    </row>
    <row r="380" spans="1:3">
      <c r="A380" s="1"/>
      <c r="B380" s="1"/>
      <c r="C380" s="1"/>
    </row>
    <row r="381" spans="1:3">
      <c r="A381" s="1"/>
      <c r="B381" s="1"/>
      <c r="C381" s="1"/>
    </row>
    <row r="382" spans="1:3">
      <c r="A382" s="1"/>
      <c r="B382" s="1"/>
      <c r="C382" s="1"/>
    </row>
    <row r="383" spans="1:3">
      <c r="A383" s="1"/>
      <c r="B383" s="1"/>
      <c r="C383" s="1"/>
    </row>
    <row r="384" spans="1:3">
      <c r="A384" s="1"/>
      <c r="B384" s="1"/>
      <c r="C384" s="1"/>
    </row>
    <row r="385" spans="1:3">
      <c r="A385" s="1"/>
      <c r="B385" s="1"/>
      <c r="C385" s="1"/>
    </row>
    <row r="386" spans="1:3">
      <c r="A386" s="1"/>
      <c r="B386" s="1"/>
      <c r="C386" s="1"/>
    </row>
    <row r="387" spans="1:3">
      <c r="A387" s="1"/>
      <c r="B387" s="1"/>
      <c r="C387" s="1"/>
    </row>
    <row r="388" spans="1:3">
      <c r="A388" s="1"/>
      <c r="B388" s="1"/>
      <c r="C388" s="1"/>
    </row>
    <row r="389" spans="1:3">
      <c r="A389" s="1"/>
      <c r="B389" s="1"/>
      <c r="C389" s="1"/>
    </row>
    <row r="390" spans="1:3">
      <c r="A390" s="1"/>
      <c r="B390" s="1"/>
      <c r="C390" s="1"/>
    </row>
    <row r="391" spans="1:3">
      <c r="A391" s="1"/>
      <c r="B391" s="1"/>
      <c r="C391" s="1"/>
    </row>
    <row r="392" spans="1:3">
      <c r="A392" s="1"/>
      <c r="B392" s="1"/>
      <c r="C392" s="1"/>
    </row>
    <row r="393" spans="1:3">
      <c r="A393" s="1"/>
      <c r="B393" s="1"/>
      <c r="C393" s="1"/>
    </row>
    <row r="394" spans="1:3">
      <c r="A394" s="1"/>
      <c r="B394" s="1"/>
      <c r="C394" s="1"/>
    </row>
    <row r="395" spans="1:3">
      <c r="A395" s="1"/>
      <c r="B395" s="1"/>
      <c r="C395" s="1"/>
    </row>
    <row r="396" spans="1:3">
      <c r="A396" s="1"/>
      <c r="B396" s="1"/>
      <c r="C396" s="1"/>
    </row>
    <row r="397" spans="1:3">
      <c r="A397" s="1"/>
      <c r="B397" s="1"/>
      <c r="C397" s="1"/>
    </row>
    <row r="398" spans="1:3">
      <c r="A398" s="1"/>
      <c r="B398" s="1"/>
      <c r="C398" s="1"/>
    </row>
    <row r="399" spans="1:3">
      <c r="A399" s="1"/>
      <c r="B399" s="1"/>
      <c r="C399" s="1"/>
    </row>
    <row r="400" spans="1:3">
      <c r="A400" s="1"/>
      <c r="B400" s="1"/>
      <c r="C400" s="1"/>
    </row>
    <row r="401" spans="1:3">
      <c r="A401" s="1"/>
      <c r="B401" s="1"/>
      <c r="C401" s="1"/>
    </row>
    <row r="402" spans="1:3">
      <c r="A402" s="1"/>
      <c r="B402" s="1"/>
      <c r="C402" s="1"/>
    </row>
    <row r="403" spans="1:3">
      <c r="A403" s="1"/>
      <c r="B403" s="1"/>
      <c r="C403" s="1"/>
    </row>
    <row r="404" spans="1:3">
      <c r="A404" s="1"/>
      <c r="B404" s="1"/>
      <c r="C404" s="1"/>
    </row>
    <row r="405" spans="1:3">
      <c r="A405" s="1"/>
      <c r="B405" s="1"/>
      <c r="C405" s="1"/>
    </row>
    <row r="406" spans="1:3">
      <c r="A406" s="1"/>
      <c r="B406" s="1"/>
      <c r="C406" s="1"/>
    </row>
    <row r="407" spans="1:3">
      <c r="A407" s="1"/>
      <c r="B407" s="1"/>
      <c r="C407" s="1"/>
    </row>
    <row r="408" spans="1:3">
      <c r="A408" s="1"/>
      <c r="B408" s="1"/>
      <c r="C408" s="1"/>
    </row>
    <row r="409" spans="1:3">
      <c r="A409" s="1"/>
      <c r="B409" s="1"/>
      <c r="C409" s="1"/>
    </row>
    <row r="410" spans="1:3">
      <c r="A410" s="1"/>
      <c r="B410" s="1"/>
      <c r="C410" s="1"/>
    </row>
    <row r="411" spans="1:3">
      <c r="A411" s="1"/>
      <c r="B411" s="1"/>
      <c r="C411" s="1"/>
    </row>
    <row r="412" spans="1:3">
      <c r="A412" s="1"/>
      <c r="B412" s="1"/>
      <c r="C412" s="1"/>
    </row>
    <row r="413" spans="1:3">
      <c r="A413" s="1"/>
      <c r="B413" s="1"/>
      <c r="C413" s="1"/>
    </row>
    <row r="414" spans="1:3">
      <c r="A414" s="1"/>
      <c r="B414" s="1"/>
      <c r="C414" s="1"/>
    </row>
    <row r="415" spans="1:3">
      <c r="A415" s="1"/>
      <c r="B415" s="1"/>
      <c r="C415" s="1"/>
    </row>
    <row r="416" spans="1:3">
      <c r="A416" s="1"/>
      <c r="B416" s="1"/>
      <c r="C416" s="1"/>
    </row>
    <row r="417" spans="1:3">
      <c r="A417" s="1"/>
      <c r="B417" s="1"/>
      <c r="C417" s="1"/>
    </row>
    <row r="418" spans="1:3">
      <c r="A418" s="1"/>
      <c r="B418" s="1"/>
      <c r="C418" s="1"/>
    </row>
    <row r="419" spans="1:3">
      <c r="A419" s="1"/>
      <c r="B419" s="1"/>
      <c r="C419" s="1"/>
    </row>
    <row r="420" spans="1:3">
      <c r="A420" s="1"/>
      <c r="B420" s="1"/>
      <c r="C420" s="1"/>
    </row>
    <row r="421" spans="1:3">
      <c r="A421" s="1"/>
      <c r="B421" s="1"/>
      <c r="C421" s="1"/>
    </row>
    <row r="422" spans="1:3">
      <c r="A422" s="1"/>
      <c r="B422" s="1"/>
      <c r="C422" s="1"/>
    </row>
    <row r="423" spans="1:3">
      <c r="A423" s="1"/>
      <c r="B423" s="1"/>
      <c r="C423" s="1"/>
    </row>
    <row r="424" spans="1:3">
      <c r="A424" s="1"/>
      <c r="B424" s="1"/>
      <c r="C424" s="1"/>
    </row>
    <row r="425" spans="1:3">
      <c r="A425" s="1"/>
      <c r="B425" s="1"/>
      <c r="C425" s="1"/>
    </row>
    <row r="426" spans="1:3">
      <c r="A426" s="1"/>
      <c r="B426" s="1"/>
      <c r="C426" s="1"/>
    </row>
    <row r="427" spans="1:3">
      <c r="A427" s="1"/>
      <c r="B427" s="1"/>
      <c r="C427" s="1"/>
    </row>
    <row r="428" spans="1:3">
      <c r="A428" s="1"/>
      <c r="B428" s="1"/>
      <c r="C428" s="1"/>
    </row>
    <row r="429" spans="1:3">
      <c r="A429" s="1"/>
      <c r="B429" s="1"/>
      <c r="C429" s="1"/>
    </row>
    <row r="430" spans="1:3">
      <c r="A430" s="1"/>
      <c r="B430" s="1"/>
      <c r="C430" s="1"/>
    </row>
    <row r="431" spans="1:3">
      <c r="A431" s="1"/>
      <c r="B431" s="1"/>
      <c r="C431" s="1"/>
    </row>
    <row r="432" spans="1:3">
      <c r="A432" s="1"/>
      <c r="B432" s="1"/>
      <c r="C432" s="1"/>
    </row>
    <row r="433" spans="1:3">
      <c r="A433" s="1"/>
      <c r="B433" s="1"/>
      <c r="C433" s="1"/>
    </row>
    <row r="434" spans="1:3">
      <c r="A434" s="1"/>
      <c r="B434" s="1"/>
      <c r="C434" s="1"/>
    </row>
    <row r="435" spans="1:3">
      <c r="A435" s="1"/>
      <c r="B435" s="1"/>
      <c r="C435" s="1"/>
    </row>
    <row r="436" spans="1:3">
      <c r="A436" s="1"/>
      <c r="B436" s="1"/>
      <c r="C436" s="1"/>
    </row>
    <row r="437" spans="1:3">
      <c r="A437" s="1"/>
      <c r="B437" s="1"/>
      <c r="C437" s="1"/>
    </row>
    <row r="438" spans="1:3">
      <c r="A438" s="1"/>
      <c r="B438" s="1"/>
      <c r="C438" s="1"/>
    </row>
    <row r="439" spans="1:3">
      <c r="A439" s="1"/>
      <c r="B439" s="1"/>
      <c r="C439" s="1"/>
    </row>
    <row r="440" spans="1:3">
      <c r="A440" s="1"/>
      <c r="B440" s="1"/>
      <c r="C440" s="1"/>
    </row>
    <row r="441" spans="1:3">
      <c r="A441" s="1"/>
      <c r="B441" s="1"/>
      <c r="C441" s="1"/>
    </row>
    <row r="442" spans="1:3">
      <c r="A442" s="1"/>
      <c r="B442" s="1"/>
      <c r="C442" s="1"/>
    </row>
    <row r="443" spans="1:3">
      <c r="A443" s="1"/>
      <c r="B443" s="1"/>
      <c r="C443" s="1"/>
    </row>
    <row r="444" spans="1:3">
      <c r="A444" s="1"/>
      <c r="B444" s="1"/>
      <c r="C444" s="1"/>
    </row>
    <row r="445" spans="1:3">
      <c r="A445" s="1"/>
      <c r="B445" s="1"/>
      <c r="C445" s="1"/>
    </row>
    <row r="446" spans="1:3">
      <c r="A446" s="1"/>
      <c r="B446" s="1"/>
      <c r="C446" s="1"/>
    </row>
    <row r="447" spans="1:3">
      <c r="A447" s="1"/>
      <c r="B447" s="1"/>
      <c r="C447" s="1"/>
    </row>
    <row r="448" spans="1:3">
      <c r="A448" s="1"/>
      <c r="B448" s="1"/>
      <c r="C448" s="1"/>
    </row>
    <row r="449" spans="1:3">
      <c r="A449" s="1"/>
      <c r="B449" s="1"/>
      <c r="C449" s="1"/>
    </row>
    <row r="450" spans="1:3">
      <c r="A450" s="1"/>
      <c r="B450" s="1"/>
      <c r="C450" s="1"/>
    </row>
    <row r="451" spans="1:3">
      <c r="A451" s="1"/>
      <c r="B451" s="1"/>
      <c r="C451" s="1"/>
    </row>
    <row r="452" spans="1:3">
      <c r="A452" s="1"/>
      <c r="B452" s="1"/>
      <c r="C452" s="1"/>
    </row>
    <row r="453" spans="1:3">
      <c r="A453" s="1"/>
      <c r="B453" s="1"/>
      <c r="C453" s="1"/>
    </row>
    <row r="454" spans="1:3">
      <c r="A454" s="1"/>
      <c r="B454" s="1"/>
      <c r="C454" s="1"/>
    </row>
    <row r="455" spans="1:3">
      <c r="A455" s="1"/>
      <c r="B455" s="1"/>
      <c r="C455" s="1"/>
    </row>
    <row r="456" spans="1:3">
      <c r="A456" s="1"/>
      <c r="B456" s="1"/>
      <c r="C456" s="1"/>
    </row>
    <row r="457" spans="1:3">
      <c r="A457" s="1"/>
      <c r="B457" s="1"/>
      <c r="C457" s="1"/>
    </row>
    <row r="458" spans="1:3">
      <c r="A458" s="1"/>
      <c r="B458" s="1"/>
      <c r="C458" s="1"/>
    </row>
    <row r="459" spans="1:3">
      <c r="A459" s="1"/>
      <c r="B459" s="1"/>
      <c r="C459" s="1"/>
    </row>
    <row r="460" spans="1:3">
      <c r="A460" s="1"/>
      <c r="B460" s="1"/>
      <c r="C460" s="1"/>
    </row>
    <row r="461" spans="1:3">
      <c r="A461" s="1"/>
      <c r="B461" s="1"/>
      <c r="C461" s="1"/>
    </row>
    <row r="462" spans="1:3">
      <c r="A462" s="1"/>
      <c r="B462" s="1"/>
      <c r="C462" s="1"/>
    </row>
    <row r="463" spans="1:3">
      <c r="A463" s="1"/>
      <c r="B463" s="1"/>
      <c r="C463" s="1"/>
    </row>
    <row r="464" spans="1:3">
      <c r="A464" s="1"/>
      <c r="B464" s="1"/>
      <c r="C464" s="1"/>
    </row>
    <row r="465" spans="1:3">
      <c r="A465" s="1"/>
      <c r="B465" s="1"/>
      <c r="C465" s="1"/>
    </row>
    <row r="466" spans="1:3">
      <c r="A466" s="1"/>
      <c r="B466" s="1"/>
      <c r="C466" s="1"/>
    </row>
    <row r="467" spans="1:3">
      <c r="A467" s="1"/>
      <c r="B467" s="1"/>
      <c r="C467" s="1"/>
    </row>
    <row r="468" spans="1:3">
      <c r="A468" s="1"/>
      <c r="B468" s="1"/>
      <c r="C468" s="1"/>
    </row>
    <row r="469" spans="1:3">
      <c r="A469" s="1"/>
      <c r="B469" s="1"/>
      <c r="C469" s="1"/>
    </row>
    <row r="470" spans="1:3">
      <c r="A470" s="1"/>
      <c r="B470" s="1"/>
      <c r="C470" s="1"/>
    </row>
    <row r="471" spans="1:3">
      <c r="A471" s="1"/>
      <c r="B471" s="1"/>
      <c r="C471" s="1"/>
    </row>
    <row r="472" spans="1:3">
      <c r="A472" s="1"/>
      <c r="B472" s="1"/>
      <c r="C472" s="1"/>
    </row>
    <row r="473" spans="1:3">
      <c r="A473" s="1"/>
      <c r="B473" s="1"/>
      <c r="C473" s="1"/>
    </row>
    <row r="474" spans="1:3">
      <c r="A474" s="1"/>
      <c r="B474" s="1"/>
      <c r="C474" s="1"/>
    </row>
    <row r="475" spans="1:3">
      <c r="A475" s="1"/>
      <c r="B475" s="1"/>
      <c r="C475" s="1"/>
    </row>
    <row r="476" spans="1:3">
      <c r="A476" s="1"/>
      <c r="B476" s="1"/>
      <c r="C476" s="1"/>
    </row>
    <row r="477" spans="1:3">
      <c r="A477" s="1"/>
      <c r="B477" s="1"/>
      <c r="C477" s="1"/>
    </row>
    <row r="478" spans="1:3">
      <c r="A478" s="1"/>
      <c r="B478" s="1"/>
      <c r="C478" s="1"/>
    </row>
    <row r="479" spans="1:3">
      <c r="A479" s="1"/>
      <c r="B479" s="1"/>
      <c r="C479" s="1"/>
    </row>
    <row r="480" spans="1:3">
      <c r="A480" s="1"/>
      <c r="B480" s="1"/>
      <c r="C480" s="1"/>
    </row>
    <row r="481" spans="1:3">
      <c r="A481" s="1"/>
      <c r="B481" s="1"/>
      <c r="C481" s="1"/>
    </row>
    <row r="482" spans="1:3">
      <c r="A482" s="1"/>
      <c r="B482" s="1"/>
      <c r="C482" s="1"/>
    </row>
    <row r="483" spans="1:3">
      <c r="A483" s="1"/>
      <c r="B483" s="1"/>
      <c r="C483" s="1"/>
    </row>
    <row r="484" spans="1:3">
      <c r="A484" s="1"/>
      <c r="B484" s="1"/>
      <c r="C484" s="1"/>
    </row>
    <row r="485" spans="1:3">
      <c r="A485" s="1"/>
      <c r="B485" s="1"/>
      <c r="C485" s="1"/>
    </row>
    <row r="486" spans="1:3">
      <c r="A486" s="1"/>
      <c r="B486" s="1"/>
      <c r="C486" s="1"/>
    </row>
    <row r="487" spans="1:3">
      <c r="A487" s="1"/>
      <c r="B487" s="1"/>
      <c r="C487" s="1"/>
    </row>
    <row r="488" spans="1:3">
      <c r="A488" s="1"/>
      <c r="B488" s="1"/>
      <c r="C488" s="1"/>
    </row>
    <row r="489" spans="1:3">
      <c r="A489" s="1"/>
      <c r="B489" s="1"/>
      <c r="C489" s="1"/>
    </row>
    <row r="490" spans="1:3">
      <c r="A490" s="1"/>
      <c r="B490" s="1"/>
      <c r="C490" s="1"/>
    </row>
    <row r="491" spans="1:3">
      <c r="A491" s="1"/>
      <c r="B491" s="1"/>
      <c r="C491" s="1"/>
    </row>
    <row r="492" spans="1:3">
      <c r="A492" s="1"/>
      <c r="B492" s="1"/>
      <c r="C492" s="1"/>
    </row>
    <row r="493" spans="1:3">
      <c r="A493" s="1"/>
      <c r="B493" s="1"/>
      <c r="C493" s="1"/>
    </row>
    <row r="494" spans="1:3">
      <c r="A494" s="1"/>
      <c r="B494" s="1"/>
      <c r="C494" s="1"/>
    </row>
    <row r="495" spans="1:3">
      <c r="A495" s="1"/>
      <c r="B495" s="1"/>
      <c r="C495" s="1"/>
    </row>
    <row r="496" spans="1:3">
      <c r="A496" s="1"/>
      <c r="B496" s="1"/>
      <c r="C496" s="1"/>
    </row>
    <row r="497" spans="1:3">
      <c r="A497" s="1"/>
      <c r="B497" s="1"/>
      <c r="C497" s="1"/>
    </row>
    <row r="498" spans="1:3">
      <c r="A498" s="1"/>
      <c r="B498" s="1"/>
      <c r="C498" s="1"/>
    </row>
    <row r="499" spans="1:3">
      <c r="A499" s="1"/>
      <c r="B499" s="1"/>
      <c r="C499" s="1"/>
    </row>
    <row r="500" spans="1:3">
      <c r="A500" s="1"/>
      <c r="B500" s="1"/>
      <c r="C500" s="1"/>
    </row>
    <row r="501" spans="1:3">
      <c r="A501" s="1"/>
      <c r="B501" s="1"/>
      <c r="C501" s="1"/>
    </row>
    <row r="502" spans="1:3">
      <c r="A502" s="1"/>
      <c r="B502" s="1"/>
      <c r="C502" s="1"/>
    </row>
    <row r="503" spans="1:3">
      <c r="A503" s="1"/>
      <c r="B503" s="1"/>
      <c r="C503" s="1"/>
    </row>
    <row r="504" spans="1:3">
      <c r="A504" s="1"/>
      <c r="B504" s="1"/>
      <c r="C504" s="1"/>
    </row>
    <row r="505" spans="1:3">
      <c r="A505" s="1"/>
      <c r="B505" s="1"/>
      <c r="C505" s="1"/>
    </row>
    <row r="506" spans="1:3">
      <c r="A506" s="1"/>
      <c r="B506" s="1"/>
      <c r="C506" s="1"/>
    </row>
    <row r="507" spans="1:3">
      <c r="A507" s="1"/>
      <c r="B507" s="1"/>
      <c r="C507" s="1"/>
    </row>
    <row r="508" spans="1:3">
      <c r="A508" s="1"/>
      <c r="B508" s="1"/>
      <c r="C508" s="1"/>
    </row>
    <row r="509" spans="1:3">
      <c r="A509" s="1"/>
      <c r="B509" s="1"/>
      <c r="C509" s="1"/>
    </row>
    <row r="510" spans="1:3">
      <c r="A510" s="1"/>
      <c r="B510" s="1"/>
      <c r="C510" s="1"/>
    </row>
    <row r="511" spans="1:3">
      <c r="A511" s="1"/>
      <c r="B511" s="1"/>
      <c r="C511" s="1"/>
    </row>
    <row r="512" spans="1:3">
      <c r="A512" s="1"/>
      <c r="B512" s="1"/>
      <c r="C512" s="1"/>
    </row>
    <row r="513" spans="1:3">
      <c r="A513" s="1"/>
      <c r="B513" s="1"/>
      <c r="C513" s="1"/>
    </row>
    <row r="514" spans="1:3">
      <c r="A514" s="1"/>
      <c r="B514" s="1"/>
      <c r="C514" s="1"/>
    </row>
    <row r="515" spans="1:3">
      <c r="A515" s="1"/>
      <c r="B515" s="1"/>
      <c r="C515" s="1"/>
    </row>
    <row r="516" spans="1:3">
      <c r="A516" s="1"/>
      <c r="B516" s="1"/>
      <c r="C516" s="1"/>
    </row>
    <row r="517" spans="1:3">
      <c r="A517" s="1"/>
      <c r="B517" s="1"/>
      <c r="C517" s="1"/>
    </row>
    <row r="518" spans="1:3">
      <c r="A518" s="1"/>
      <c r="B518" s="1"/>
      <c r="C518" s="1"/>
    </row>
    <row r="519" spans="1:3">
      <c r="A519" s="1"/>
      <c r="B519" s="1"/>
      <c r="C519" s="1"/>
    </row>
    <row r="520" spans="1:3">
      <c r="A520" s="1"/>
      <c r="B520" s="1"/>
      <c r="C520" s="1"/>
    </row>
    <row r="521" spans="1:3">
      <c r="A521" s="1"/>
      <c r="B521" s="1"/>
      <c r="C521" s="1"/>
    </row>
    <row r="522" spans="1:3">
      <c r="A522" s="1"/>
      <c r="B522" s="1"/>
      <c r="C522" s="1"/>
    </row>
    <row r="523" spans="1:3">
      <c r="A523" s="1"/>
      <c r="B523" s="1"/>
      <c r="C523" s="1"/>
    </row>
    <row r="524" spans="1:3">
      <c r="A524" s="1"/>
      <c r="B524" s="1"/>
      <c r="C524" s="1"/>
    </row>
    <row r="525" spans="1:3">
      <c r="A525" s="1"/>
      <c r="B525" s="1"/>
      <c r="C525" s="1"/>
    </row>
    <row r="526" spans="1:3">
      <c r="A526" s="1"/>
      <c r="B526" s="1"/>
      <c r="C526" s="1"/>
    </row>
    <row r="527" spans="1:3">
      <c r="A527" s="1"/>
      <c r="B527" s="1"/>
      <c r="C527" s="1"/>
    </row>
    <row r="528" spans="1:3">
      <c r="A528" s="1"/>
      <c r="B528" s="1"/>
      <c r="C528" s="1"/>
    </row>
    <row r="529" spans="1:3">
      <c r="A529" s="1"/>
      <c r="B529" s="1"/>
      <c r="C529" s="1"/>
    </row>
    <row r="530" spans="1:3">
      <c r="A530" s="1"/>
      <c r="B530" s="1"/>
      <c r="C530" s="1"/>
    </row>
    <row r="531" spans="1:3">
      <c r="A531" s="1"/>
      <c r="B531" s="1"/>
      <c r="C531" s="1"/>
    </row>
    <row r="532" spans="1:3">
      <c r="A532" s="1"/>
      <c r="B532" s="1"/>
      <c r="C532" s="1"/>
    </row>
    <row r="533" spans="1:3">
      <c r="A533" s="1"/>
      <c r="B533" s="1"/>
      <c r="C533" s="1"/>
    </row>
    <row r="534" spans="1:3">
      <c r="A534" s="1"/>
      <c r="B534" s="1"/>
      <c r="C534" s="1"/>
    </row>
    <row r="535" spans="1:3">
      <c r="A535" s="1"/>
      <c r="B535" s="1"/>
      <c r="C535" s="1"/>
    </row>
    <row r="536" spans="1:3">
      <c r="A536" s="1"/>
      <c r="B536" s="1"/>
      <c r="C536" s="1"/>
    </row>
    <row r="537" spans="1:3">
      <c r="A537" s="1"/>
      <c r="B537" s="1"/>
      <c r="C537" s="1"/>
    </row>
    <row r="538" spans="1:3">
      <c r="A538" s="1"/>
      <c r="B538" s="1"/>
      <c r="C538" s="1"/>
    </row>
    <row r="539" spans="1:3">
      <c r="A539" s="1"/>
      <c r="B539" s="1"/>
      <c r="C539" s="1"/>
    </row>
    <row r="540" spans="1:3">
      <c r="A540" s="1"/>
      <c r="B540" s="1"/>
      <c r="C540" s="1"/>
    </row>
    <row r="541" spans="1:3">
      <c r="A541" s="1"/>
      <c r="B541" s="1"/>
      <c r="C541" s="1"/>
    </row>
    <row r="542" spans="1:3">
      <c r="A542" s="1"/>
      <c r="B542" s="1"/>
      <c r="C542" s="1"/>
    </row>
    <row r="543" spans="1:3">
      <c r="A543" s="1"/>
      <c r="B543" s="1"/>
      <c r="C543" s="1"/>
    </row>
    <row r="544" spans="1:3">
      <c r="A544" s="1"/>
      <c r="B544" s="1"/>
      <c r="C544" s="1"/>
    </row>
    <row r="545" spans="1:3">
      <c r="A545" s="1"/>
      <c r="B545" s="1"/>
      <c r="C545" s="1"/>
    </row>
    <row r="546" spans="1:3">
      <c r="A546" s="1"/>
      <c r="B546" s="1"/>
      <c r="C546" s="1"/>
    </row>
    <row r="547" spans="1:3">
      <c r="A547" s="1"/>
      <c r="B547" s="1"/>
      <c r="C547" s="1"/>
    </row>
    <row r="548" spans="1:3">
      <c r="A548" s="1"/>
      <c r="B548" s="1"/>
      <c r="C548" s="1"/>
    </row>
    <row r="549" spans="1:3">
      <c r="A549" s="1"/>
      <c r="B549" s="1"/>
      <c r="C549" s="1"/>
    </row>
    <row r="550" spans="1:3">
      <c r="A550" s="1"/>
      <c r="B550" s="1"/>
      <c r="C550" s="1"/>
    </row>
    <row r="551" spans="1:3">
      <c r="A551" s="1"/>
      <c r="B551" s="1"/>
      <c r="C551" s="1"/>
    </row>
    <row r="552" spans="1:3">
      <c r="A552" s="1"/>
      <c r="B552" s="1"/>
      <c r="C552" s="1"/>
    </row>
    <row r="553" spans="1:3">
      <c r="A553" s="1"/>
      <c r="B553" s="1"/>
      <c r="C553" s="1"/>
    </row>
    <row r="554" spans="1:3">
      <c r="A554" s="1"/>
      <c r="B554" s="1"/>
      <c r="C554" s="1"/>
    </row>
    <row r="555" spans="1:3">
      <c r="A555" s="1"/>
      <c r="B555" s="1"/>
      <c r="C555" s="1"/>
    </row>
    <row r="556" spans="1:3">
      <c r="A556" s="1"/>
      <c r="B556" s="1"/>
      <c r="C556" s="1"/>
    </row>
    <row r="557" spans="1:3">
      <c r="A557" s="1"/>
      <c r="B557" s="1"/>
      <c r="C557" s="1"/>
    </row>
    <row r="558" spans="1:3">
      <c r="A558" s="1"/>
      <c r="B558" s="1"/>
      <c r="C558" s="1"/>
    </row>
    <row r="559" spans="1:3">
      <c r="A559" s="1"/>
      <c r="B559" s="1"/>
      <c r="C559" s="1"/>
    </row>
    <row r="560" spans="1:3">
      <c r="A560" s="1"/>
      <c r="B560" s="1"/>
      <c r="C560" s="1"/>
    </row>
    <row r="561" spans="1:3">
      <c r="A561" s="1"/>
      <c r="B561" s="1"/>
      <c r="C561" s="1"/>
    </row>
    <row r="562" spans="1:3">
      <c r="A562" s="1"/>
      <c r="B562" s="1"/>
      <c r="C562" s="1"/>
    </row>
    <row r="563" spans="1:3">
      <c r="A563" s="1"/>
      <c r="B563" s="1"/>
      <c r="C563" s="1"/>
    </row>
    <row r="564" spans="1:3">
      <c r="A564" s="1"/>
      <c r="B564" s="1"/>
      <c r="C564" s="1"/>
    </row>
    <row r="565" spans="1:3">
      <c r="A565" s="1"/>
      <c r="B565" s="1"/>
      <c r="C565" s="1"/>
    </row>
    <row r="566" spans="1:3">
      <c r="A566" s="1"/>
      <c r="B566" s="1"/>
      <c r="C566" s="1"/>
    </row>
    <row r="567" spans="1:3">
      <c r="A567" s="1"/>
      <c r="B567" s="1"/>
      <c r="C567" s="1"/>
    </row>
    <row r="568" spans="1:3">
      <c r="A568" s="1"/>
      <c r="B568" s="1"/>
      <c r="C568" s="1"/>
    </row>
    <row r="569" spans="1:3">
      <c r="A569" s="1"/>
      <c r="B569" s="1"/>
      <c r="C569" s="1"/>
    </row>
    <row r="570" spans="1:3">
      <c r="A570" s="1"/>
      <c r="B570" s="1"/>
      <c r="C570" s="1"/>
    </row>
    <row r="571" spans="1:3">
      <c r="A571" s="1"/>
      <c r="B571" s="1"/>
      <c r="C571" s="1"/>
    </row>
    <row r="572" spans="1:3">
      <c r="A572" s="1"/>
      <c r="B572" s="1"/>
      <c r="C572" s="1"/>
    </row>
    <row r="573" spans="1:3">
      <c r="A573" s="1"/>
      <c r="B573" s="1"/>
      <c r="C573" s="1"/>
    </row>
    <row r="574" spans="1:3">
      <c r="A574" s="1"/>
      <c r="B574" s="1"/>
      <c r="C574" s="1"/>
    </row>
    <row r="575" spans="1:3">
      <c r="A575" s="1"/>
      <c r="B575" s="1"/>
      <c r="C575" s="1"/>
    </row>
    <row r="576" spans="1:3">
      <c r="A576" s="1"/>
      <c r="B576" s="1"/>
      <c r="C576" s="1"/>
    </row>
    <row r="577" spans="1:3">
      <c r="A577" s="1"/>
      <c r="B577" s="1"/>
      <c r="C577" s="1"/>
    </row>
    <row r="578" spans="1:3">
      <c r="A578" s="1"/>
      <c r="B578" s="1"/>
      <c r="C578" s="1"/>
    </row>
    <row r="579" spans="1:3">
      <c r="A579" s="1"/>
      <c r="B579" s="1"/>
      <c r="C579" s="1"/>
    </row>
    <row r="580" spans="1:3">
      <c r="A580" s="1"/>
      <c r="B580" s="1"/>
      <c r="C580" s="1"/>
    </row>
    <row r="581" spans="1:3">
      <c r="A581" s="1"/>
      <c r="B581" s="1"/>
      <c r="C581" s="1"/>
    </row>
    <row r="582" spans="1:3">
      <c r="A582" s="1"/>
      <c r="B582" s="1"/>
      <c r="C582" s="1"/>
    </row>
    <row r="583" spans="1:3">
      <c r="A583" s="1"/>
      <c r="B583" s="1"/>
      <c r="C583" s="1"/>
    </row>
    <row r="584" spans="1:3">
      <c r="A584" s="1"/>
      <c r="B584" s="1"/>
      <c r="C584" s="1"/>
    </row>
    <row r="585" spans="1:3">
      <c r="A585" s="1"/>
      <c r="B585" s="1"/>
      <c r="C585" s="1"/>
    </row>
    <row r="586" spans="1:3">
      <c r="A586" s="1"/>
      <c r="B586" s="1"/>
      <c r="C586" s="1"/>
    </row>
    <row r="587" spans="1:3">
      <c r="A587" s="1"/>
      <c r="B587" s="1"/>
      <c r="C587" s="1"/>
    </row>
    <row r="588" spans="1:3">
      <c r="A588" s="1"/>
      <c r="B588" s="1"/>
      <c r="C588" s="1"/>
    </row>
    <row r="589" spans="1:3">
      <c r="A589" s="1"/>
      <c r="B589" s="1"/>
      <c r="C589" s="1"/>
    </row>
    <row r="590" spans="1:3">
      <c r="A590" s="1"/>
      <c r="B590" s="1"/>
      <c r="C590" s="1"/>
    </row>
    <row r="591" spans="1:3">
      <c r="A591" s="1"/>
      <c r="B591" s="1"/>
      <c r="C591" s="1"/>
    </row>
    <row r="592" spans="1:3">
      <c r="A592" s="1"/>
      <c r="B592" s="1"/>
      <c r="C592" s="1"/>
    </row>
    <row r="593" spans="1:3">
      <c r="A593" s="1"/>
      <c r="B593" s="1"/>
      <c r="C593" s="1"/>
    </row>
    <row r="594" spans="1:3">
      <c r="A594" s="1"/>
      <c r="B594" s="1"/>
      <c r="C594" s="1"/>
    </row>
    <row r="595" spans="1:3">
      <c r="A595" s="1"/>
      <c r="B595" s="1"/>
      <c r="C595" s="1"/>
    </row>
    <row r="596" spans="1:3">
      <c r="A596" s="1"/>
      <c r="B596" s="1"/>
      <c r="C596" s="1"/>
    </row>
    <row r="597" spans="1:3">
      <c r="A597" s="1"/>
      <c r="B597" s="1"/>
      <c r="C597" s="1"/>
    </row>
    <row r="598" spans="1:3">
      <c r="A598" s="1"/>
      <c r="B598" s="1"/>
      <c r="C598" s="1"/>
    </row>
    <row r="599" spans="1:3">
      <c r="A599" s="1"/>
      <c r="B599" s="1"/>
      <c r="C599" s="1"/>
    </row>
    <row r="600" spans="1:3">
      <c r="A600" s="1"/>
      <c r="B600" s="1"/>
      <c r="C600" s="1"/>
    </row>
    <row r="601" spans="1:3">
      <c r="A601" s="1"/>
      <c r="B601" s="1"/>
      <c r="C601" s="1"/>
    </row>
    <row r="602" spans="1:3">
      <c r="A602" s="1"/>
      <c r="B602" s="1"/>
      <c r="C602" s="1"/>
    </row>
    <row r="603" spans="1:3">
      <c r="A603" s="1"/>
      <c r="B603" s="1"/>
      <c r="C603" s="1"/>
    </row>
    <row r="604" spans="1:3">
      <c r="A604" s="1"/>
      <c r="B604" s="1"/>
      <c r="C604" s="1"/>
    </row>
    <row r="605" spans="1:3">
      <c r="A605" s="1"/>
      <c r="B605" s="1"/>
      <c r="C605" s="1"/>
    </row>
    <row r="606" spans="1:3">
      <c r="A606" s="1"/>
      <c r="B606" s="1"/>
      <c r="C606" s="1"/>
    </row>
    <row r="607" spans="1:3">
      <c r="A607" s="1"/>
      <c r="B607" s="1"/>
      <c r="C607" s="1"/>
    </row>
    <row r="608" spans="1:3">
      <c r="A608" s="1"/>
      <c r="B608" s="1"/>
      <c r="C608" s="1"/>
    </row>
    <row r="609" spans="1:3">
      <c r="A609" s="1"/>
      <c r="B609" s="1"/>
      <c r="C609" s="1"/>
    </row>
    <row r="610" spans="1:3">
      <c r="A610" s="1"/>
      <c r="B610" s="1"/>
      <c r="C610" s="1"/>
    </row>
    <row r="611" spans="1:3">
      <c r="A611" s="1"/>
      <c r="B611" s="1"/>
      <c r="C611" s="1"/>
    </row>
    <row r="612" spans="1:3">
      <c r="A612" s="1"/>
      <c r="B612" s="1"/>
      <c r="C612" s="1"/>
    </row>
    <row r="613" spans="1:3">
      <c r="A613" s="1"/>
      <c r="B613" s="1"/>
      <c r="C613" s="1"/>
    </row>
    <row r="614" spans="1:3">
      <c r="A614" s="1"/>
      <c r="B614" s="1"/>
      <c r="C614" s="1"/>
    </row>
    <row r="615" spans="1:3">
      <c r="A615" s="1"/>
      <c r="B615" s="1"/>
      <c r="C615" s="1"/>
    </row>
    <row r="616" spans="1:3">
      <c r="A616" s="1"/>
      <c r="B616" s="1"/>
      <c r="C616" s="1"/>
    </row>
    <row r="617" spans="1:3">
      <c r="A617" s="1"/>
      <c r="B617" s="1"/>
      <c r="C617" s="1"/>
    </row>
    <row r="618" spans="1:3">
      <c r="A618" s="1"/>
      <c r="B618" s="1"/>
      <c r="C618" s="1"/>
    </row>
    <row r="619" spans="1:3">
      <c r="A619" s="1"/>
      <c r="B619" s="1"/>
      <c r="C619" s="1"/>
    </row>
    <row r="620" spans="1:3">
      <c r="A620" s="1"/>
      <c r="B620" s="1"/>
      <c r="C620" s="1"/>
    </row>
    <row r="621" spans="1:3">
      <c r="A621" s="1"/>
      <c r="B621" s="1"/>
      <c r="C621" s="1"/>
    </row>
    <row r="622" spans="1:3">
      <c r="A622" s="1"/>
      <c r="B622" s="1"/>
      <c r="C622" s="1"/>
    </row>
    <row r="623" spans="1:3">
      <c r="A623" s="1"/>
      <c r="B623" s="1"/>
      <c r="C623" s="1"/>
    </row>
    <row r="624" spans="1:3">
      <c r="A624" s="1"/>
      <c r="B624" s="1"/>
      <c r="C624" s="1"/>
    </row>
    <row r="625" spans="1:3">
      <c r="A625" s="1"/>
      <c r="B625" s="1"/>
      <c r="C625" s="1"/>
    </row>
    <row r="626" spans="1:3">
      <c r="A626" s="1"/>
      <c r="B626" s="1"/>
      <c r="C626" s="1"/>
    </row>
    <row r="627" spans="1:3">
      <c r="A627" s="1"/>
      <c r="B627" s="1"/>
      <c r="C627" s="1"/>
    </row>
    <row r="628" spans="1:3">
      <c r="A628" s="1"/>
      <c r="B628" s="1"/>
      <c r="C628" s="1"/>
    </row>
    <row r="629" spans="1:3">
      <c r="A629" s="1"/>
      <c r="B629" s="1"/>
      <c r="C629" s="1"/>
    </row>
    <row r="630" spans="1:3">
      <c r="A630" s="1"/>
      <c r="B630" s="1"/>
      <c r="C630" s="1"/>
    </row>
    <row r="631" spans="1:3">
      <c r="A631" s="1"/>
      <c r="B631" s="1"/>
      <c r="C631" s="1"/>
    </row>
    <row r="632" spans="1:3">
      <c r="A632" s="1"/>
      <c r="B632" s="1"/>
      <c r="C632" s="1"/>
    </row>
    <row r="633" spans="1:3">
      <c r="A633" s="1"/>
      <c r="B633" s="1"/>
      <c r="C633" s="1"/>
    </row>
    <row r="634" spans="1:3">
      <c r="A634" s="1"/>
      <c r="B634" s="1"/>
      <c r="C634" s="1"/>
    </row>
    <row r="635" spans="1:3">
      <c r="A635" s="1"/>
      <c r="B635" s="1"/>
      <c r="C635" s="1"/>
    </row>
    <row r="636" spans="1:3">
      <c r="A636" s="1"/>
      <c r="B636" s="1"/>
      <c r="C636" s="1"/>
    </row>
    <row r="637" spans="1:3">
      <c r="A637" s="1"/>
      <c r="B637" s="1"/>
      <c r="C637" s="1"/>
    </row>
    <row r="638" spans="1:3">
      <c r="A638" s="1"/>
      <c r="B638" s="1"/>
      <c r="C638" s="1"/>
    </row>
    <row r="639" spans="1:3">
      <c r="A639" s="1"/>
      <c r="B639" s="1"/>
      <c r="C639" s="1"/>
    </row>
    <row r="640" spans="1:3">
      <c r="A640" s="1"/>
      <c r="B640" s="1"/>
      <c r="C640" s="1"/>
    </row>
    <row r="641" spans="1:3">
      <c r="A641" s="1"/>
      <c r="B641" s="1"/>
      <c r="C641" s="1"/>
    </row>
    <row r="642" spans="1:3">
      <c r="A642" s="1"/>
      <c r="B642" s="1"/>
      <c r="C642" s="1"/>
    </row>
    <row r="643" spans="1:3">
      <c r="A643" s="1"/>
      <c r="B643" s="1"/>
      <c r="C643" s="1"/>
    </row>
    <row r="644" spans="1:3">
      <c r="A644" s="1"/>
      <c r="B644" s="1"/>
      <c r="C644" s="1"/>
    </row>
    <row r="645" spans="1:3">
      <c r="A645" s="1"/>
      <c r="B645" s="1"/>
      <c r="C645" s="1"/>
    </row>
    <row r="646" spans="1:3">
      <c r="A646" s="1"/>
      <c r="B646" s="1"/>
      <c r="C646" s="1"/>
    </row>
    <row r="647" spans="1:3">
      <c r="A647" s="1"/>
      <c r="B647" s="1"/>
      <c r="C647" s="1"/>
    </row>
    <row r="648" spans="1:3">
      <c r="A648" s="1"/>
      <c r="B648" s="1"/>
      <c r="C648" s="1"/>
    </row>
    <row r="649" spans="1:3">
      <c r="A649" s="1"/>
      <c r="B649" s="1"/>
      <c r="C649" s="1"/>
    </row>
    <row r="650" spans="1:3">
      <c r="A650" s="1"/>
      <c r="B650" s="1"/>
      <c r="C650" s="1"/>
    </row>
    <row r="651" spans="1:3">
      <c r="A651" s="1"/>
      <c r="B651" s="1"/>
      <c r="C651" s="1"/>
    </row>
    <row r="652" spans="1:3">
      <c r="A652" s="1"/>
      <c r="B652" s="1"/>
      <c r="C652" s="1"/>
    </row>
    <row r="653" spans="1:3">
      <c r="A653" s="1"/>
      <c r="B653" s="1"/>
      <c r="C653" s="1"/>
    </row>
    <row r="654" spans="1:3">
      <c r="A654" s="1"/>
      <c r="B654" s="1"/>
      <c r="C654" s="1"/>
    </row>
    <row r="655" spans="1:3">
      <c r="A655" s="1"/>
      <c r="B655" s="1"/>
      <c r="C655" s="1"/>
    </row>
    <row r="656" spans="1:3">
      <c r="A656" s="1"/>
      <c r="B656" s="1"/>
      <c r="C656" s="1"/>
    </row>
    <row r="657" spans="1:3">
      <c r="A657" s="1"/>
      <c r="B657" s="1"/>
      <c r="C657" s="1"/>
    </row>
    <row r="658" spans="1:3">
      <c r="A658" s="1"/>
      <c r="B658" s="1"/>
      <c r="C658" s="1"/>
    </row>
    <row r="659" spans="1:3">
      <c r="A659" s="1"/>
      <c r="B659" s="1"/>
      <c r="C659" s="1"/>
    </row>
    <row r="660" spans="1:3">
      <c r="A660" s="1"/>
      <c r="B660" s="1"/>
      <c r="C660" s="1"/>
    </row>
    <row r="661" spans="1:3">
      <c r="A661" s="1"/>
      <c r="B661" s="1"/>
      <c r="C661" s="1"/>
    </row>
    <row r="662" spans="1:3">
      <c r="A662" s="1"/>
      <c r="B662" s="1"/>
      <c r="C662" s="1"/>
    </row>
    <row r="663" spans="1:3">
      <c r="A663" s="1"/>
      <c r="B663" s="1"/>
      <c r="C663" s="1"/>
    </row>
    <row r="664" spans="1:3">
      <c r="A664" s="1"/>
      <c r="B664" s="1"/>
      <c r="C664" s="1"/>
    </row>
    <row r="665" spans="1:3">
      <c r="A665" s="1"/>
      <c r="B665" s="1"/>
      <c r="C665" s="1"/>
    </row>
    <row r="666" spans="1:3">
      <c r="A666" s="1"/>
      <c r="B666" s="1"/>
      <c r="C666" s="1"/>
    </row>
    <row r="667" spans="1:3">
      <c r="A667" s="1"/>
      <c r="B667" s="1"/>
      <c r="C667" s="1"/>
    </row>
    <row r="668" spans="1:3">
      <c r="A668" s="1"/>
      <c r="B668" s="1"/>
      <c r="C668" s="1"/>
    </row>
    <row r="669" spans="1:3">
      <c r="A669" s="1"/>
      <c r="B669" s="1"/>
      <c r="C669" s="1"/>
    </row>
    <row r="670" spans="1:3">
      <c r="A670" s="1"/>
      <c r="B670" s="1"/>
      <c r="C670" s="1"/>
    </row>
    <row r="671" spans="1:3">
      <c r="A671" s="1"/>
      <c r="B671" s="1"/>
      <c r="C671" s="1"/>
    </row>
    <row r="672" spans="1:3">
      <c r="A672" s="1"/>
      <c r="B672" s="1"/>
      <c r="C672" s="1"/>
    </row>
    <row r="673" spans="1:3">
      <c r="A673" s="1"/>
      <c r="B673" s="1"/>
      <c r="C673" s="1"/>
    </row>
    <row r="674" spans="1:3">
      <c r="A674" s="1"/>
      <c r="B674" s="1"/>
      <c r="C674" s="1"/>
    </row>
    <row r="675" spans="1:3">
      <c r="A675" s="1"/>
      <c r="B675" s="1"/>
      <c r="C675" s="1"/>
    </row>
    <row r="676" spans="1:3">
      <c r="A676" s="1"/>
      <c r="B676" s="1"/>
      <c r="C676" s="1"/>
    </row>
    <row r="677" spans="1:3">
      <c r="A677" s="1"/>
      <c r="B677" s="1"/>
      <c r="C677" s="1"/>
    </row>
    <row r="678" spans="1:3">
      <c r="A678" s="1"/>
      <c r="B678" s="1"/>
      <c r="C678" s="1"/>
    </row>
    <row r="679" spans="1:3">
      <c r="A679" s="1"/>
      <c r="B679" s="1"/>
      <c r="C679" s="1"/>
    </row>
    <row r="680" spans="1:3">
      <c r="A680" s="1"/>
      <c r="B680" s="1"/>
      <c r="C680" s="1"/>
    </row>
    <row r="681" spans="1:3">
      <c r="A681" s="1"/>
      <c r="B681" s="1"/>
      <c r="C681" s="1"/>
    </row>
    <row r="682" spans="1:3">
      <c r="A682" s="1"/>
      <c r="B682" s="1"/>
      <c r="C682" s="1"/>
    </row>
    <row r="683" spans="1:3">
      <c r="A683" s="1"/>
      <c r="B683" s="1"/>
      <c r="C683" s="1"/>
    </row>
    <row r="684" spans="1:3">
      <c r="A684" s="1"/>
      <c r="B684" s="1"/>
      <c r="C684" s="1"/>
    </row>
    <row r="685" spans="1:3">
      <c r="A685" s="1"/>
      <c r="B685" s="1"/>
      <c r="C685" s="1"/>
    </row>
    <row r="686" spans="1:3">
      <c r="A686" s="1"/>
      <c r="B686" s="1"/>
      <c r="C686" s="1"/>
    </row>
    <row r="687" spans="1:3">
      <c r="A687" s="1"/>
      <c r="B687" s="1"/>
      <c r="C687" s="1"/>
    </row>
    <row r="688" spans="1:3">
      <c r="A688" s="1"/>
      <c r="B688" s="1"/>
      <c r="C688" s="1"/>
    </row>
    <row r="689" spans="1:3">
      <c r="A689" s="1"/>
      <c r="B689" s="1"/>
      <c r="C689" s="1"/>
    </row>
    <row r="690" spans="1:3">
      <c r="A690" s="1"/>
      <c r="B690" s="1"/>
      <c r="C690" s="1"/>
    </row>
    <row r="691" spans="1:3">
      <c r="A691" s="1"/>
      <c r="B691" s="1"/>
      <c r="C691" s="1"/>
    </row>
    <row r="692" spans="1:3">
      <c r="A692" s="1"/>
      <c r="B692" s="1"/>
      <c r="C692" s="1"/>
    </row>
    <row r="693" spans="1:3">
      <c r="A693" s="1"/>
      <c r="B693" s="1"/>
      <c r="C693" s="1"/>
    </row>
    <row r="694" spans="1:3">
      <c r="A694" s="1"/>
      <c r="B694" s="1"/>
      <c r="C694" s="1"/>
    </row>
    <row r="695" spans="1:3">
      <c r="A695" s="1"/>
      <c r="B695" s="1"/>
      <c r="C695" s="1"/>
    </row>
    <row r="696" spans="1:3">
      <c r="A696" s="1"/>
      <c r="B696" s="1"/>
      <c r="C696" s="1"/>
    </row>
    <row r="697" spans="1:3">
      <c r="A697" s="1"/>
      <c r="B697" s="1"/>
      <c r="C697" s="1"/>
    </row>
    <row r="698" spans="1:3">
      <c r="A698" s="1"/>
      <c r="B698" s="1"/>
      <c r="C698" s="1"/>
    </row>
    <row r="699" spans="1:3">
      <c r="A699" s="1"/>
      <c r="B699" s="1"/>
      <c r="C699" s="1"/>
    </row>
    <row r="700" spans="1:3">
      <c r="A700" s="1"/>
      <c r="B700" s="1"/>
      <c r="C700" s="1"/>
    </row>
    <row r="701" spans="1:3">
      <c r="A701" s="1"/>
      <c r="B701" s="1"/>
      <c r="C701" s="1"/>
    </row>
    <row r="702" spans="1:3">
      <c r="A702" s="1"/>
      <c r="B702" s="1"/>
      <c r="C702" s="1"/>
    </row>
    <row r="703" spans="1:3">
      <c r="A703" s="1"/>
      <c r="B703" s="1"/>
      <c r="C703" s="1"/>
    </row>
    <row r="704" spans="1:3">
      <c r="A704" s="1"/>
      <c r="B704" s="1"/>
      <c r="C704" s="1"/>
    </row>
    <row r="705" spans="1:3">
      <c r="A705" s="1"/>
      <c r="B705" s="1"/>
      <c r="C705" s="1"/>
    </row>
    <row r="706" spans="1:3">
      <c r="A706" s="1"/>
      <c r="B706" s="1"/>
      <c r="C706" s="1"/>
    </row>
    <row r="707" spans="1:3">
      <c r="A707" s="1"/>
      <c r="B707" s="1"/>
      <c r="C707" s="1"/>
    </row>
    <row r="708" spans="1:3">
      <c r="A708" s="1"/>
      <c r="B708" s="1"/>
      <c r="C708" s="1"/>
    </row>
    <row r="709" spans="1:3">
      <c r="A709" s="1"/>
      <c r="B709" s="1"/>
      <c r="C709" s="1"/>
    </row>
    <row r="710" spans="1:3">
      <c r="A710" s="1"/>
      <c r="B710" s="1"/>
      <c r="C710" s="1"/>
    </row>
    <row r="711" spans="1:3">
      <c r="A711" s="1"/>
      <c r="B711" s="1"/>
      <c r="C711" s="1"/>
    </row>
    <row r="712" spans="1:3">
      <c r="A712" s="1"/>
      <c r="B712" s="1"/>
      <c r="C712" s="1"/>
    </row>
    <row r="713" spans="1:3">
      <c r="A713" s="1"/>
      <c r="B713" s="1"/>
      <c r="C713" s="1"/>
    </row>
    <row r="714" spans="1:3">
      <c r="A714" s="1"/>
      <c r="B714" s="1"/>
      <c r="C714" s="1"/>
    </row>
    <row r="715" spans="1:3">
      <c r="A715" s="1"/>
      <c r="B715" s="1"/>
      <c r="C715" s="1"/>
    </row>
    <row r="716" spans="1:3">
      <c r="A716" s="1"/>
      <c r="B716" s="1"/>
      <c r="C716" s="1"/>
    </row>
    <row r="717" spans="1:3">
      <c r="A717" s="1"/>
      <c r="B717" s="1"/>
      <c r="C717" s="1"/>
    </row>
    <row r="718" spans="1:3">
      <c r="A718" s="1"/>
      <c r="B718" s="1"/>
      <c r="C718" s="1"/>
    </row>
    <row r="719" spans="1:3">
      <c r="A719" s="1"/>
      <c r="B719" s="1"/>
      <c r="C719" s="1"/>
    </row>
    <row r="720" spans="1:3">
      <c r="A720" s="1"/>
      <c r="B720" s="1"/>
      <c r="C720" s="1"/>
    </row>
    <row r="721" spans="1:3">
      <c r="A721" s="1"/>
      <c r="B721" s="1"/>
      <c r="C721" s="1"/>
    </row>
    <row r="722" spans="1:3">
      <c r="A722" s="1"/>
      <c r="B722" s="1"/>
      <c r="C722" s="1"/>
    </row>
    <row r="723" spans="1:3">
      <c r="A723" s="1"/>
      <c r="B723" s="1"/>
      <c r="C723" s="1"/>
    </row>
    <row r="724" spans="1:3">
      <c r="A724" s="1"/>
      <c r="B724" s="1"/>
      <c r="C724" s="1"/>
    </row>
    <row r="725" spans="1:3">
      <c r="A725" s="1"/>
      <c r="B725" s="1"/>
      <c r="C725" s="1"/>
    </row>
    <row r="726" spans="1:3">
      <c r="A726" s="1"/>
      <c r="B726" s="1"/>
      <c r="C726" s="1"/>
    </row>
    <row r="727" spans="1:3">
      <c r="A727" s="1"/>
      <c r="B727" s="1"/>
      <c r="C727" s="1"/>
    </row>
    <row r="728" spans="1:3">
      <c r="A728" s="1"/>
      <c r="B728" s="1"/>
      <c r="C728" s="1"/>
    </row>
    <row r="729" spans="1:3">
      <c r="A729" s="1"/>
      <c r="B729" s="1"/>
      <c r="C729" s="1"/>
    </row>
    <row r="730" spans="1:3">
      <c r="A730" s="1"/>
      <c r="B730" s="1"/>
      <c r="C730" s="1"/>
    </row>
    <row r="731" spans="1:3">
      <c r="A731" s="1"/>
      <c r="B731" s="1"/>
      <c r="C731" s="1"/>
    </row>
    <row r="732" spans="1:3">
      <c r="A732" s="1"/>
      <c r="B732" s="1"/>
      <c r="C732" s="1"/>
    </row>
    <row r="733" spans="1:3">
      <c r="A733" s="1"/>
      <c r="B733" s="1"/>
      <c r="C733" s="1"/>
    </row>
    <row r="734" spans="1:3">
      <c r="A734" s="1"/>
      <c r="B734" s="1"/>
      <c r="C734" s="1"/>
    </row>
    <row r="735" spans="1:3">
      <c r="A735" s="1"/>
      <c r="B735" s="1"/>
      <c r="C735" s="1"/>
    </row>
    <row r="736" spans="1:3">
      <c r="A736" s="1"/>
      <c r="B736" s="1"/>
      <c r="C736" s="1"/>
    </row>
    <row r="737" spans="1:3">
      <c r="A737" s="1"/>
      <c r="B737" s="1"/>
      <c r="C737" s="1"/>
    </row>
    <row r="738" spans="1:3">
      <c r="A738" s="1"/>
      <c r="B738" s="1"/>
      <c r="C738" s="1"/>
    </row>
    <row r="739" spans="1:3">
      <c r="A739" s="1"/>
      <c r="B739" s="1"/>
      <c r="C739" s="1"/>
    </row>
    <row r="740" spans="1:3">
      <c r="A740" s="1"/>
      <c r="B740" s="1"/>
      <c r="C740" s="1"/>
    </row>
    <row r="741" spans="1:3">
      <c r="A741" s="1"/>
      <c r="B741" s="1"/>
      <c r="C741" s="1"/>
    </row>
    <row r="742" spans="1:3">
      <c r="A742" s="1"/>
      <c r="B742" s="1"/>
      <c r="C742" s="1"/>
    </row>
    <row r="743" spans="1:3">
      <c r="A743" s="1"/>
      <c r="B743" s="1"/>
      <c r="C743" s="1"/>
    </row>
    <row r="744" spans="1:3">
      <c r="A744" s="1"/>
      <c r="B744" s="1"/>
      <c r="C744" s="1"/>
    </row>
    <row r="745" spans="1:3">
      <c r="A745" s="1"/>
      <c r="B745" s="1"/>
      <c r="C745" s="1"/>
    </row>
    <row r="746" spans="1:3">
      <c r="A746" s="1"/>
      <c r="B746" s="1"/>
      <c r="C746" s="1"/>
    </row>
    <row r="747" spans="1:3">
      <c r="A747" s="1"/>
      <c r="B747" s="1"/>
      <c r="C747" s="1"/>
    </row>
    <row r="748" spans="1:3">
      <c r="A748" s="1"/>
      <c r="B748" s="1"/>
      <c r="C748" s="1"/>
    </row>
    <row r="749" spans="1:3">
      <c r="A749" s="1"/>
      <c r="B749" s="1"/>
      <c r="C749" s="1"/>
    </row>
    <row r="750" spans="1:3">
      <c r="A750" s="1"/>
      <c r="B750" s="1"/>
      <c r="C750" s="1"/>
    </row>
    <row r="751" spans="1:3">
      <c r="A751" s="1"/>
      <c r="B751" s="1"/>
      <c r="C751" s="1"/>
    </row>
    <row r="752" spans="1:3">
      <c r="A752" s="1"/>
      <c r="B752" s="1"/>
      <c r="C752" s="1"/>
    </row>
    <row r="753" spans="1:3">
      <c r="A753" s="1"/>
      <c r="B753" s="1"/>
      <c r="C753" s="1"/>
    </row>
    <row r="754" spans="1:3">
      <c r="A754" s="1"/>
      <c r="B754" s="1"/>
      <c r="C754" s="1"/>
    </row>
    <row r="755" spans="1:3">
      <c r="A755" s="1"/>
      <c r="B755" s="1"/>
      <c r="C755" s="1"/>
    </row>
    <row r="756" spans="1:3">
      <c r="A756" s="1"/>
      <c r="B756" s="1"/>
      <c r="C756" s="1"/>
    </row>
    <row r="757" spans="1:3">
      <c r="A757" s="1"/>
      <c r="B757" s="1"/>
      <c r="C757" s="1"/>
    </row>
    <row r="758" spans="1:3">
      <c r="A758" s="1"/>
      <c r="B758" s="1"/>
      <c r="C758" s="1"/>
    </row>
    <row r="759" spans="1:3">
      <c r="A759" s="1"/>
      <c r="B759" s="1"/>
      <c r="C759" s="1"/>
    </row>
    <row r="760" spans="1:3">
      <c r="A760" s="1"/>
      <c r="B760" s="1"/>
      <c r="C760" s="1"/>
    </row>
    <row r="761" spans="1:3">
      <c r="A761" s="1"/>
      <c r="B761" s="1"/>
      <c r="C761" s="1"/>
    </row>
    <row r="762" spans="1:3">
      <c r="A762" s="1"/>
      <c r="B762" s="1"/>
      <c r="C762" s="1"/>
    </row>
    <row r="763" spans="1:3">
      <c r="A763" s="1"/>
      <c r="B763" s="1"/>
      <c r="C763" s="1"/>
    </row>
    <row r="764" spans="1:3">
      <c r="A764" s="1"/>
      <c r="B764" s="1"/>
      <c r="C764" s="1"/>
    </row>
    <row r="765" spans="1:3">
      <c r="A765" s="1"/>
      <c r="B765" s="1"/>
      <c r="C765" s="1"/>
    </row>
    <row r="766" spans="1:3">
      <c r="A766" s="1"/>
      <c r="B766" s="1"/>
      <c r="C766" s="1"/>
    </row>
    <row r="767" spans="1:3">
      <c r="A767" s="1"/>
      <c r="B767" s="1"/>
      <c r="C767" s="1"/>
    </row>
    <row r="768" spans="1:3">
      <c r="A768" s="1"/>
      <c r="B768" s="1"/>
      <c r="C768" s="1"/>
    </row>
    <row r="769" spans="1:3">
      <c r="A769" s="1"/>
      <c r="B769" s="1"/>
      <c r="C769" s="1"/>
    </row>
    <row r="770" spans="1:3">
      <c r="A770" s="1"/>
      <c r="B770" s="1"/>
      <c r="C770" s="1"/>
    </row>
    <row r="771" spans="1:3">
      <c r="A771" s="1"/>
      <c r="B771" s="1"/>
      <c r="C771" s="1"/>
    </row>
    <row r="772" spans="1:3">
      <c r="A772" s="1"/>
      <c r="B772" s="1"/>
      <c r="C772" s="1"/>
    </row>
    <row r="773" spans="1:3">
      <c r="A773" s="1"/>
      <c r="B773" s="1"/>
      <c r="C773" s="1"/>
    </row>
    <row r="774" spans="1:3">
      <c r="A774" s="1"/>
      <c r="B774" s="1"/>
      <c r="C774" s="1"/>
    </row>
    <row r="775" spans="1:3">
      <c r="A775" s="1"/>
      <c r="B775" s="1"/>
      <c r="C775" s="1"/>
    </row>
    <row r="776" spans="1:3">
      <c r="A776" s="1"/>
      <c r="B776" s="1"/>
      <c r="C776" s="1"/>
    </row>
    <row r="777" spans="1:3">
      <c r="A777" s="1"/>
      <c r="B777" s="1"/>
      <c r="C777" s="1"/>
    </row>
    <row r="778" spans="1:3">
      <c r="A778" s="1"/>
      <c r="B778" s="1"/>
      <c r="C778" s="1"/>
    </row>
    <row r="779" spans="1:3">
      <c r="A779" s="1"/>
      <c r="B779" s="1"/>
      <c r="C779" s="1"/>
    </row>
    <row r="780" spans="1:3">
      <c r="A780" s="1"/>
      <c r="B780" s="1"/>
      <c r="C780" s="1"/>
    </row>
    <row r="781" spans="1:3">
      <c r="A781" s="1"/>
      <c r="B781" s="1"/>
      <c r="C781" s="1"/>
    </row>
    <row r="782" spans="1:3">
      <c r="A782" s="1"/>
      <c r="B782" s="1"/>
      <c r="C782" s="1"/>
    </row>
    <row r="783" spans="1:3">
      <c r="A783" s="1"/>
      <c r="B783" s="1"/>
      <c r="C783" s="1"/>
    </row>
    <row r="784" spans="1:3">
      <c r="A784" s="1"/>
      <c r="B784" s="1"/>
      <c r="C784" s="1"/>
    </row>
    <row r="785" spans="1:3">
      <c r="A785" s="1"/>
      <c r="B785" s="1"/>
      <c r="C785" s="1"/>
    </row>
    <row r="786" spans="1:3">
      <c r="A786" s="1"/>
      <c r="B786" s="1"/>
      <c r="C786" s="1"/>
    </row>
    <row r="787" spans="1:3">
      <c r="A787" s="1"/>
      <c r="B787" s="1"/>
      <c r="C787" s="1"/>
    </row>
    <row r="788" spans="1:3">
      <c r="A788" s="1"/>
      <c r="B788" s="1"/>
      <c r="C788" s="1"/>
    </row>
    <row r="789" spans="1:3">
      <c r="A789" s="1"/>
      <c r="B789" s="1"/>
      <c r="C789" s="1"/>
    </row>
    <row r="790" spans="1:3">
      <c r="A790" s="1"/>
      <c r="B790" s="1"/>
      <c r="C790" s="1"/>
    </row>
    <row r="791" spans="1:3">
      <c r="A791" s="1"/>
      <c r="B791" s="1"/>
      <c r="C791" s="1"/>
    </row>
    <row r="792" spans="1:3">
      <c r="A792" s="1"/>
      <c r="B792" s="1"/>
      <c r="C792" s="1"/>
    </row>
    <row r="793" spans="1:3">
      <c r="A793" s="1"/>
      <c r="B793" s="1"/>
      <c r="C793" s="1"/>
    </row>
    <row r="794" spans="1:3">
      <c r="A794" s="1"/>
      <c r="B794" s="1"/>
      <c r="C794" s="1"/>
    </row>
    <row r="795" spans="1:3">
      <c r="A795" s="1"/>
      <c r="B795" s="1"/>
      <c r="C795" s="1"/>
    </row>
    <row r="796" spans="1:3">
      <c r="A796" s="1"/>
      <c r="B796" s="1"/>
      <c r="C796" s="1"/>
    </row>
    <row r="797" spans="1:3">
      <c r="A797" s="1"/>
      <c r="B797" s="1"/>
      <c r="C797" s="1"/>
    </row>
    <row r="798" spans="1:3">
      <c r="A798" s="1"/>
      <c r="B798" s="1"/>
      <c r="C798" s="1"/>
    </row>
    <row r="799" spans="1:3">
      <c r="A799" s="1"/>
      <c r="B799" s="1"/>
      <c r="C799" s="1"/>
    </row>
    <row r="800" spans="1:3">
      <c r="A800" s="1"/>
      <c r="B800" s="1"/>
      <c r="C800" s="1"/>
    </row>
    <row r="801" spans="1:3">
      <c r="A801" s="1"/>
      <c r="B801" s="1"/>
      <c r="C801" s="1"/>
    </row>
    <row r="802" spans="1:3">
      <c r="A802" s="1"/>
      <c r="B802" s="1"/>
      <c r="C802" s="1"/>
    </row>
    <row r="803" spans="1:3">
      <c r="A803" s="1"/>
      <c r="B803" s="1"/>
      <c r="C803" s="1"/>
    </row>
    <row r="804" spans="1:3">
      <c r="A804" s="1"/>
      <c r="B804" s="1"/>
      <c r="C804" s="1"/>
    </row>
    <row r="805" spans="1:3">
      <c r="A805" s="1"/>
      <c r="B805" s="1"/>
      <c r="C805" s="1"/>
    </row>
    <row r="806" spans="1:3">
      <c r="A806" s="1"/>
      <c r="B806" s="1"/>
      <c r="C806" s="1"/>
    </row>
    <row r="807" spans="1:3">
      <c r="A807" s="1"/>
      <c r="B807" s="1"/>
      <c r="C807" s="1"/>
    </row>
    <row r="808" spans="1:3">
      <c r="A808" s="1"/>
      <c r="B808" s="1"/>
      <c r="C808" s="1"/>
    </row>
    <row r="809" spans="1:3">
      <c r="A809" s="1"/>
      <c r="B809" s="1"/>
      <c r="C809" s="1"/>
    </row>
    <row r="810" spans="1:3">
      <c r="A810" s="1"/>
      <c r="B810" s="1"/>
      <c r="C810" s="1"/>
    </row>
    <row r="811" spans="1:3">
      <c r="A811" s="1"/>
      <c r="B811" s="1"/>
      <c r="C811" s="1"/>
    </row>
    <row r="812" spans="1:3">
      <c r="A812" s="1"/>
      <c r="B812" s="1"/>
      <c r="C812" s="1"/>
    </row>
    <row r="813" spans="1:3">
      <c r="A813" s="1"/>
      <c r="B813" s="1"/>
      <c r="C813" s="1"/>
    </row>
    <row r="814" spans="1:3">
      <c r="A814" s="1"/>
      <c r="B814" s="1"/>
      <c r="C814" s="1"/>
    </row>
    <row r="815" spans="1:3">
      <c r="A815" s="1"/>
      <c r="B815" s="1"/>
      <c r="C815" s="1"/>
    </row>
    <row r="816" spans="1:3">
      <c r="A816" s="1"/>
      <c r="B816" s="1"/>
      <c r="C816" s="1"/>
    </row>
    <row r="817" spans="1:3">
      <c r="A817" s="1"/>
      <c r="B817" s="1"/>
      <c r="C817" s="1"/>
    </row>
    <row r="818" spans="1:3">
      <c r="A818" s="1"/>
      <c r="B818" s="1"/>
      <c r="C818" s="1"/>
    </row>
    <row r="819" spans="1:3">
      <c r="A819" s="1"/>
      <c r="B819" s="1"/>
      <c r="C819" s="1"/>
    </row>
    <row r="820" spans="1:3">
      <c r="A820" s="1"/>
      <c r="B820" s="1"/>
      <c r="C820" s="1"/>
    </row>
    <row r="821" spans="1:3">
      <c r="A821" s="1"/>
      <c r="B821" s="1"/>
      <c r="C821" s="1"/>
    </row>
    <row r="822" spans="1:3">
      <c r="A822" s="1"/>
      <c r="B822" s="1"/>
      <c r="C822" s="1"/>
    </row>
    <row r="823" spans="1:3">
      <c r="A823" s="1"/>
      <c r="B823" s="1"/>
      <c r="C823" s="1"/>
    </row>
    <row r="824" spans="1:3">
      <c r="A824" s="1"/>
      <c r="B824" s="1"/>
      <c r="C824" s="1"/>
    </row>
    <row r="825" spans="1:3">
      <c r="A825" s="1"/>
      <c r="B825" s="1"/>
      <c r="C825" s="1"/>
    </row>
    <row r="826" spans="1:3">
      <c r="A826" s="1"/>
      <c r="B826" s="1"/>
      <c r="C826" s="1"/>
    </row>
    <row r="827" spans="1:3">
      <c r="A827" s="1"/>
      <c r="B827" s="1"/>
      <c r="C827" s="1"/>
    </row>
    <row r="828" spans="1:3">
      <c r="A828" s="1"/>
      <c r="B828" s="1"/>
      <c r="C828" s="1"/>
    </row>
    <row r="829" spans="1:3">
      <c r="A829" s="1"/>
      <c r="B829" s="1"/>
      <c r="C829" s="1"/>
    </row>
    <row r="830" spans="1:3">
      <c r="A830" s="1"/>
      <c r="B830" s="1"/>
      <c r="C830" s="1"/>
    </row>
    <row r="831" spans="1:3">
      <c r="A831" s="1"/>
      <c r="B831" s="1"/>
      <c r="C831" s="1"/>
    </row>
    <row r="832" spans="1:3">
      <c r="A832" s="1"/>
      <c r="B832" s="1"/>
      <c r="C832" s="1"/>
    </row>
    <row r="833" spans="1:3">
      <c r="A833" s="1"/>
      <c r="B833" s="1"/>
      <c r="C833" s="1"/>
    </row>
    <row r="834" spans="1:3">
      <c r="A834" s="1"/>
      <c r="B834" s="1"/>
      <c r="C834" s="1"/>
    </row>
    <row r="835" spans="1:3">
      <c r="A835" s="1"/>
      <c r="B835" s="1"/>
      <c r="C835" s="1"/>
    </row>
    <row r="836" spans="1:3">
      <c r="A836" s="1"/>
      <c r="B836" s="1"/>
      <c r="C836" s="1"/>
    </row>
    <row r="837" spans="1:3">
      <c r="A837" s="1"/>
      <c r="B837" s="1"/>
      <c r="C837" s="1"/>
    </row>
    <row r="838" spans="1:3">
      <c r="A838" s="1"/>
      <c r="B838" s="1"/>
      <c r="C838" s="1"/>
    </row>
    <row r="839" spans="1:3">
      <c r="A839" s="1"/>
      <c r="B839" s="1"/>
      <c r="C839" s="1"/>
    </row>
    <row r="840" spans="1:3">
      <c r="A840" s="1"/>
      <c r="B840" s="1"/>
      <c r="C840" s="1"/>
    </row>
    <row r="841" spans="1:3">
      <c r="A841" s="1"/>
      <c r="B841" s="1"/>
      <c r="C841" s="1"/>
    </row>
    <row r="842" spans="1:3">
      <c r="A842" s="1"/>
      <c r="B842" s="1"/>
      <c r="C842" s="1"/>
    </row>
    <row r="843" spans="1:3">
      <c r="A843" s="1"/>
      <c r="B843" s="1"/>
      <c r="C843" s="1"/>
    </row>
    <row r="844" spans="1:3">
      <c r="A844" s="1"/>
      <c r="B844" s="1"/>
      <c r="C844" s="1"/>
    </row>
    <row r="845" spans="1:3">
      <c r="A845" s="1"/>
      <c r="B845" s="1"/>
      <c r="C845" s="1"/>
    </row>
    <row r="846" spans="1:3">
      <c r="A846" s="1"/>
      <c r="B846" s="1"/>
      <c r="C846" s="1"/>
    </row>
    <row r="847" spans="1:3">
      <c r="A847" s="1"/>
      <c r="B847" s="1"/>
      <c r="C847" s="1"/>
    </row>
    <row r="848" spans="1:3">
      <c r="A848" s="1"/>
      <c r="B848" s="1"/>
      <c r="C848" s="1"/>
    </row>
    <row r="849" spans="1:3">
      <c r="A849" s="1"/>
      <c r="B849" s="1"/>
      <c r="C849" s="1"/>
    </row>
    <row r="850" spans="1:3">
      <c r="A850" s="1"/>
      <c r="B850" s="1"/>
      <c r="C850" s="1"/>
    </row>
    <row r="851" spans="1:3">
      <c r="A851" s="1"/>
      <c r="B851" s="1"/>
      <c r="C851" s="1"/>
    </row>
    <row r="852" spans="1:3">
      <c r="A852" s="1"/>
      <c r="B852" s="1"/>
      <c r="C852" s="1"/>
    </row>
    <row r="853" spans="1:3">
      <c r="A853" s="1"/>
      <c r="B853" s="1"/>
      <c r="C853" s="1"/>
    </row>
    <row r="854" spans="1:3">
      <c r="A854" s="1"/>
      <c r="B854" s="1"/>
      <c r="C854" s="1"/>
    </row>
    <row r="855" spans="1:3">
      <c r="A855" s="1"/>
      <c r="B855" s="1"/>
      <c r="C855" s="1"/>
    </row>
    <row r="856" spans="1:3">
      <c r="A856" s="1"/>
      <c r="B856" s="1"/>
      <c r="C856" s="1"/>
    </row>
    <row r="857" spans="1:3">
      <c r="A857" s="1"/>
      <c r="B857" s="1"/>
      <c r="C857" s="1"/>
    </row>
    <row r="858" spans="1:3">
      <c r="A858" s="1"/>
      <c r="B858" s="1"/>
      <c r="C858" s="1"/>
    </row>
    <row r="859" spans="1:3">
      <c r="A859" s="1"/>
      <c r="B859" s="1"/>
      <c r="C859" s="1"/>
    </row>
    <row r="860" spans="1:3">
      <c r="A860" s="1"/>
      <c r="B860" s="1"/>
      <c r="C860" s="1"/>
    </row>
    <row r="861" spans="1:3">
      <c r="A861" s="1"/>
      <c r="B861" s="1"/>
      <c r="C861" s="1"/>
    </row>
    <row r="862" spans="1:3">
      <c r="A862" s="1"/>
      <c r="B862" s="1"/>
      <c r="C862" s="1"/>
    </row>
    <row r="863" spans="1:3">
      <c r="A863" s="1"/>
      <c r="B863" s="1"/>
      <c r="C863" s="1"/>
    </row>
    <row r="864" spans="1:3">
      <c r="A864" s="1"/>
      <c r="B864" s="1"/>
      <c r="C864" s="1"/>
    </row>
    <row r="865" spans="1:3">
      <c r="A865" s="1"/>
      <c r="B865" s="1"/>
      <c r="C865" s="1"/>
    </row>
    <row r="866" spans="1:3">
      <c r="A866" s="1"/>
      <c r="B866" s="1"/>
      <c r="C866" s="1"/>
    </row>
    <row r="867" spans="1:3">
      <c r="A867" s="1"/>
      <c r="B867" s="1"/>
      <c r="C867" s="1"/>
    </row>
    <row r="868" spans="1:3">
      <c r="A868" s="1"/>
      <c r="B868" s="1"/>
      <c r="C868" s="1"/>
    </row>
    <row r="869" spans="1:3">
      <c r="A869" s="1"/>
      <c r="B869" s="1"/>
      <c r="C869" s="1"/>
    </row>
    <row r="870" spans="1:3">
      <c r="A870" s="1"/>
      <c r="B870" s="1"/>
      <c r="C870" s="1"/>
    </row>
    <row r="871" spans="1:3">
      <c r="A871" s="1"/>
      <c r="B871" s="1"/>
      <c r="C871" s="1"/>
    </row>
    <row r="872" spans="1:3">
      <c r="A872" s="1"/>
      <c r="B872" s="1"/>
      <c r="C872" s="1"/>
    </row>
    <row r="873" spans="1:3">
      <c r="A873" s="1"/>
      <c r="B873" s="1"/>
      <c r="C873" s="1"/>
    </row>
    <row r="874" spans="1:3">
      <c r="A874" s="1"/>
      <c r="B874" s="1"/>
      <c r="C874" s="1"/>
    </row>
    <row r="875" spans="1:3">
      <c r="A875" s="1"/>
      <c r="B875" s="1"/>
      <c r="C875" s="1"/>
    </row>
    <row r="876" spans="1:3">
      <c r="A876" s="1"/>
      <c r="B876" s="1"/>
      <c r="C876" s="1"/>
    </row>
    <row r="877" spans="1:3">
      <c r="A877" s="1"/>
      <c r="B877" s="1"/>
      <c r="C877" s="1"/>
    </row>
    <row r="878" spans="1:3">
      <c r="A878" s="1"/>
      <c r="B878" s="1"/>
      <c r="C878" s="1"/>
    </row>
    <row r="879" spans="1:3">
      <c r="A879" s="1"/>
      <c r="B879" s="1"/>
      <c r="C879" s="1"/>
    </row>
    <row r="880" spans="1:3">
      <c r="A880" s="1"/>
      <c r="B880" s="1"/>
      <c r="C880" s="1"/>
    </row>
    <row r="881" spans="1:3">
      <c r="A881" s="1"/>
      <c r="B881" s="1"/>
      <c r="C881" s="1"/>
    </row>
    <row r="882" spans="1:3">
      <c r="A882" s="1"/>
      <c r="B882" s="1"/>
      <c r="C882" s="1"/>
    </row>
    <row r="883" spans="1:3">
      <c r="A883" s="1"/>
      <c r="B883" s="1"/>
      <c r="C883" s="1"/>
    </row>
    <row r="884" spans="1:3">
      <c r="A884" s="1"/>
      <c r="B884" s="1"/>
      <c r="C884" s="1"/>
    </row>
    <row r="885" spans="1:3">
      <c r="A885" s="1"/>
      <c r="B885" s="1"/>
      <c r="C885" s="1"/>
    </row>
    <row r="886" spans="1:3">
      <c r="A886" s="1"/>
      <c r="B886" s="1"/>
      <c r="C886" s="1"/>
    </row>
    <row r="887" spans="1:3">
      <c r="A887" s="1"/>
      <c r="B887" s="1"/>
      <c r="C887" s="1"/>
    </row>
    <row r="888" spans="1:3">
      <c r="A888" s="1"/>
      <c r="B888" s="1"/>
      <c r="C888" s="1"/>
    </row>
    <row r="889" spans="1:3">
      <c r="A889" s="1"/>
      <c r="B889" s="1"/>
      <c r="C889" s="1"/>
    </row>
    <row r="890" spans="1:3">
      <c r="A890" s="1"/>
      <c r="B890" s="1"/>
      <c r="C890" s="1"/>
    </row>
    <row r="891" spans="1:3">
      <c r="A891" s="1"/>
      <c r="B891" s="1"/>
      <c r="C891" s="1"/>
    </row>
    <row r="892" spans="1:3">
      <c r="A892" s="1"/>
      <c r="B892" s="1"/>
      <c r="C892" s="1"/>
    </row>
    <row r="893" spans="1:3">
      <c r="A893" s="1"/>
      <c r="B893" s="1"/>
      <c r="C893" s="1"/>
    </row>
    <row r="894" spans="1:3">
      <c r="A894" s="1"/>
      <c r="B894" s="1"/>
      <c r="C894" s="1"/>
    </row>
    <row r="895" spans="1:3">
      <c r="A895" s="1"/>
      <c r="B895" s="1"/>
      <c r="C895" s="1"/>
    </row>
    <row r="896" spans="1:3">
      <c r="A896" s="1"/>
      <c r="B896" s="1"/>
      <c r="C896" s="1"/>
    </row>
    <row r="897" spans="1:3">
      <c r="A897" s="1"/>
      <c r="B897" s="1"/>
      <c r="C897" s="1"/>
    </row>
    <row r="898" spans="1:3">
      <c r="A898" s="1"/>
      <c r="B898" s="1"/>
      <c r="C898" s="1"/>
    </row>
    <row r="899" spans="1:3">
      <c r="A899" s="1"/>
      <c r="B899" s="1"/>
      <c r="C899" s="1"/>
    </row>
    <row r="900" spans="1:3">
      <c r="A900" s="1"/>
      <c r="B900" s="1"/>
      <c r="C900" s="1"/>
    </row>
    <row r="901" spans="1:3">
      <c r="A901" s="1"/>
      <c r="B901" s="1"/>
      <c r="C901" s="1"/>
    </row>
    <row r="902" spans="1:3">
      <c r="A902" s="1"/>
      <c r="B902" s="1"/>
      <c r="C902" s="1"/>
    </row>
    <row r="903" spans="1:3">
      <c r="A903" s="1"/>
      <c r="B903" s="1"/>
      <c r="C903" s="1"/>
    </row>
    <row r="904" spans="1:3">
      <c r="A904" s="1"/>
      <c r="B904" s="1"/>
      <c r="C904" s="1"/>
    </row>
    <row r="905" spans="1:3">
      <c r="A905" s="1"/>
      <c r="B905" s="1"/>
      <c r="C905" s="1"/>
    </row>
    <row r="906" spans="1:3">
      <c r="A906" s="1"/>
      <c r="B906" s="1"/>
      <c r="C906" s="1"/>
    </row>
    <row r="907" spans="1:3">
      <c r="A907" s="1"/>
      <c r="B907" s="1"/>
      <c r="C907" s="1"/>
    </row>
    <row r="908" spans="1:3">
      <c r="A908" s="1"/>
      <c r="B908" s="1"/>
      <c r="C908" s="1"/>
    </row>
    <row r="909" spans="1:3">
      <c r="A909" s="1"/>
      <c r="B909" s="1"/>
      <c r="C909" s="1"/>
    </row>
    <row r="910" spans="1:3">
      <c r="A910" s="1"/>
      <c r="B910" s="1"/>
      <c r="C910" s="1"/>
    </row>
    <row r="911" spans="1:3">
      <c r="A911" s="1"/>
      <c r="B911" s="1"/>
      <c r="C911" s="1"/>
    </row>
    <row r="912" spans="1:3">
      <c r="A912" s="1"/>
      <c r="B912" s="1"/>
      <c r="C912" s="1"/>
    </row>
    <row r="913" spans="1:3">
      <c r="A913" s="1"/>
      <c r="B913" s="1"/>
      <c r="C913" s="1"/>
    </row>
    <row r="914" spans="1:3">
      <c r="A914" s="1"/>
      <c r="B914" s="1"/>
      <c r="C914" s="1"/>
    </row>
    <row r="915" spans="1:3">
      <c r="A915" s="1"/>
      <c r="B915" s="1"/>
      <c r="C915" s="1"/>
    </row>
    <row r="916" spans="1:3">
      <c r="A916" s="1"/>
      <c r="B916" s="1"/>
      <c r="C916" s="1"/>
    </row>
    <row r="917" spans="1:3">
      <c r="A917" s="1"/>
      <c r="B917" s="1"/>
      <c r="C917" s="1"/>
    </row>
    <row r="918" spans="1:3">
      <c r="A918" s="1"/>
      <c r="B918" s="1"/>
      <c r="C918" s="1"/>
    </row>
    <row r="919" spans="1:3">
      <c r="A919" s="1"/>
      <c r="B919" s="1"/>
      <c r="C919" s="1"/>
    </row>
    <row r="920" spans="1:3">
      <c r="A920" s="1"/>
      <c r="B920" s="1"/>
      <c r="C920" s="1"/>
    </row>
    <row r="921" spans="1:3">
      <c r="A921" s="1"/>
      <c r="B921" s="1"/>
      <c r="C921" s="1"/>
    </row>
    <row r="922" spans="1:3">
      <c r="A922" s="1"/>
      <c r="B922" s="1"/>
      <c r="C922" s="1"/>
    </row>
    <row r="923" spans="1:3">
      <c r="A923" s="1"/>
      <c r="B923" s="1"/>
      <c r="C923" s="1"/>
    </row>
    <row r="924" spans="1:3">
      <c r="A924" s="1"/>
      <c r="B924" s="1"/>
      <c r="C924" s="1"/>
    </row>
    <row r="925" spans="1:3">
      <c r="A925" s="1"/>
      <c r="B925" s="1"/>
      <c r="C925" s="1"/>
    </row>
    <row r="926" spans="1:3">
      <c r="A926" s="1"/>
      <c r="B926" s="1"/>
      <c r="C926" s="1"/>
    </row>
    <row r="927" spans="1:3">
      <c r="A927" s="1"/>
      <c r="B927" s="1"/>
      <c r="C927" s="1"/>
    </row>
    <row r="928" spans="1:3">
      <c r="A928" s="1"/>
      <c r="B928" s="1"/>
      <c r="C928" s="1"/>
    </row>
    <row r="929" spans="1:3">
      <c r="A929" s="1"/>
      <c r="B929" s="1"/>
      <c r="C929" s="1"/>
    </row>
    <row r="930" spans="1:3">
      <c r="A930" s="1"/>
      <c r="B930" s="1"/>
      <c r="C930" s="1"/>
    </row>
    <row r="931" spans="1:3">
      <c r="A931" s="1"/>
      <c r="B931" s="1"/>
      <c r="C931" s="1"/>
    </row>
    <row r="932" spans="1:3">
      <c r="A932" s="1"/>
      <c r="B932" s="1"/>
      <c r="C932" s="1"/>
    </row>
    <row r="933" spans="1:3">
      <c r="A933" s="1"/>
      <c r="B933" s="1"/>
      <c r="C933" s="1"/>
    </row>
    <row r="934" spans="1:3">
      <c r="A934" s="1"/>
      <c r="B934" s="1"/>
      <c r="C934" s="1"/>
    </row>
    <row r="935" spans="1:3">
      <c r="A935" s="1"/>
      <c r="B935" s="1"/>
      <c r="C935" s="1"/>
    </row>
    <row r="936" spans="1:3">
      <c r="A936" s="1"/>
      <c r="B936" s="1"/>
      <c r="C936" s="1"/>
    </row>
    <row r="937" spans="1:3">
      <c r="A937" s="1"/>
      <c r="B937" s="1"/>
      <c r="C937" s="1"/>
    </row>
    <row r="938" spans="1:3">
      <c r="A938" s="1"/>
      <c r="B938" s="1"/>
      <c r="C938" s="1"/>
    </row>
    <row r="939" spans="1:3">
      <c r="A939" s="1"/>
      <c r="B939" s="1"/>
      <c r="C939" s="1"/>
    </row>
    <row r="940" spans="1:3">
      <c r="A940" s="1"/>
      <c r="B940" s="1"/>
      <c r="C940" s="1"/>
    </row>
    <row r="941" spans="1:3">
      <c r="A941" s="1"/>
      <c r="B941" s="1"/>
      <c r="C941" s="1"/>
    </row>
    <row r="942" spans="1:3">
      <c r="A942" s="1"/>
      <c r="B942" s="1"/>
      <c r="C942" s="1"/>
    </row>
    <row r="943" spans="1:3">
      <c r="A943" s="1"/>
      <c r="B943" s="1"/>
      <c r="C943" s="1"/>
    </row>
    <row r="944" spans="1:3">
      <c r="A944" s="1"/>
      <c r="B944" s="1"/>
      <c r="C944" s="1"/>
    </row>
    <row r="945" spans="1:3">
      <c r="A945" s="1"/>
      <c r="B945" s="1"/>
      <c r="C945" s="1"/>
    </row>
    <row r="946" spans="1:3">
      <c r="A946" s="1"/>
      <c r="B946" s="1"/>
      <c r="C946" s="1"/>
    </row>
    <row r="947" spans="1:3">
      <c r="A947" s="1"/>
      <c r="B947" s="1"/>
      <c r="C947" s="1"/>
    </row>
    <row r="948" spans="1:3">
      <c r="A948" s="1"/>
      <c r="B948" s="1"/>
      <c r="C948" s="1"/>
    </row>
    <row r="949" spans="1:3">
      <c r="A949" s="1"/>
      <c r="B949" s="1"/>
      <c r="C949" s="1"/>
    </row>
    <row r="950" spans="1:3">
      <c r="A950" s="1"/>
      <c r="B950" s="1"/>
      <c r="C950" s="1"/>
    </row>
    <row r="951" spans="1:3">
      <c r="A951" s="1"/>
      <c r="B951" s="1"/>
      <c r="C951" s="1"/>
    </row>
    <row r="952" spans="1:3">
      <c r="A952" s="1"/>
      <c r="B952" s="1"/>
      <c r="C952" s="1"/>
    </row>
    <row r="953" spans="1:3">
      <c r="A953" s="1"/>
      <c r="B953" s="1"/>
      <c r="C953" s="1"/>
    </row>
    <row r="954" spans="1:3">
      <c r="A954" s="1"/>
      <c r="B954" s="1"/>
      <c r="C954" s="1"/>
    </row>
    <row r="955" spans="1:3">
      <c r="A955" s="1"/>
      <c r="B955" s="1"/>
      <c r="C955" s="1"/>
    </row>
    <row r="956" spans="1:3">
      <c r="A956" s="1"/>
      <c r="B956" s="1"/>
      <c r="C956" s="1"/>
    </row>
    <row r="957" spans="1:3">
      <c r="A957" s="1"/>
      <c r="B957" s="1"/>
      <c r="C957" s="1"/>
    </row>
    <row r="958" spans="1:3">
      <c r="A958" s="1"/>
      <c r="B958" s="1"/>
      <c r="C958" s="1"/>
    </row>
    <row r="959" spans="1:3">
      <c r="A959" s="1"/>
      <c r="B959" s="1"/>
      <c r="C959" s="1"/>
    </row>
    <row r="960" spans="1:3">
      <c r="A960" s="1"/>
      <c r="B960" s="1"/>
      <c r="C960" s="1"/>
    </row>
    <row r="961" spans="1:3">
      <c r="A961" s="1"/>
      <c r="B961" s="1"/>
      <c r="C961" s="1"/>
    </row>
    <row r="962" spans="1:3">
      <c r="A962" s="1"/>
      <c r="B962" s="1"/>
      <c r="C962" s="1"/>
    </row>
    <row r="963" spans="1:3">
      <c r="A963" s="1"/>
      <c r="B963" s="1"/>
      <c r="C963" s="1"/>
    </row>
    <row r="964" spans="1:3">
      <c r="A964" s="1"/>
      <c r="B964" s="1"/>
      <c r="C964" s="1"/>
    </row>
    <row r="965" spans="1:3">
      <c r="A965" s="1"/>
      <c r="B965" s="1"/>
      <c r="C965" s="1"/>
    </row>
    <row r="966" spans="1:3">
      <c r="A966" s="1"/>
      <c r="B966" s="1"/>
      <c r="C966" s="1"/>
    </row>
    <row r="967" spans="1:3">
      <c r="A967" s="1"/>
      <c r="B967" s="1"/>
      <c r="C967" s="1"/>
    </row>
    <row r="968" spans="1:3">
      <c r="A968" s="1"/>
      <c r="B968" s="1"/>
      <c r="C968" s="1"/>
    </row>
    <row r="969" spans="1:3">
      <c r="A969" s="1"/>
      <c r="B969" s="1"/>
      <c r="C969" s="1"/>
    </row>
    <row r="970" spans="1:3">
      <c r="A970" s="1"/>
      <c r="B970" s="1"/>
      <c r="C970" s="1"/>
    </row>
    <row r="971" spans="1:3">
      <c r="A971" s="1"/>
      <c r="B971" s="1"/>
      <c r="C971" s="1"/>
    </row>
    <row r="972" spans="1:3">
      <c r="A972" s="1"/>
      <c r="B972" s="1"/>
      <c r="C972" s="1"/>
    </row>
    <row r="973" spans="1:3">
      <c r="A973" s="1"/>
      <c r="B973" s="1"/>
      <c r="C973" s="1"/>
    </row>
    <row r="974" spans="1:3">
      <c r="A974" s="1"/>
      <c r="B974" s="1"/>
      <c r="C974" s="1"/>
    </row>
    <row r="975" spans="1:3">
      <c r="A975" s="1"/>
      <c r="B975" s="1"/>
      <c r="C975" s="1"/>
    </row>
    <row r="976" spans="1:3">
      <c r="A976" s="1"/>
      <c r="B976" s="1"/>
      <c r="C976" s="1"/>
    </row>
    <row r="977" spans="1:3">
      <c r="A977" s="1"/>
      <c r="B977" s="1"/>
      <c r="C977" s="1"/>
    </row>
    <row r="978" spans="1:3">
      <c r="A978" s="1"/>
      <c r="B978" s="1"/>
      <c r="C978" s="1"/>
    </row>
    <row r="979" spans="1:3">
      <c r="A979" s="1"/>
      <c r="B979" s="1"/>
      <c r="C979" s="1"/>
    </row>
    <row r="980" spans="1:3">
      <c r="A980" s="1"/>
      <c r="B980" s="1"/>
      <c r="C980" s="1"/>
    </row>
    <row r="981" spans="1:3">
      <c r="A981" s="1"/>
      <c r="B981" s="1"/>
      <c r="C981" s="1"/>
    </row>
    <row r="982" spans="1:3">
      <c r="A982" s="1"/>
      <c r="B982" s="1"/>
      <c r="C982" s="1"/>
    </row>
    <row r="983" spans="1:3">
      <c r="A983" s="1"/>
      <c r="B983" s="1"/>
      <c r="C983" s="1"/>
    </row>
    <row r="984" spans="1:3">
      <c r="A984" s="1"/>
      <c r="B984" s="1"/>
      <c r="C984" s="1"/>
    </row>
    <row r="985" spans="1:3">
      <c r="A985" s="1"/>
      <c r="B985" s="1"/>
      <c r="C985" s="1"/>
    </row>
    <row r="986" spans="1:3">
      <c r="A986" s="1"/>
      <c r="B986" s="1"/>
      <c r="C986" s="1"/>
    </row>
    <row r="987" spans="1:3">
      <c r="A987" s="1"/>
      <c r="B987" s="1"/>
      <c r="C987" s="1"/>
    </row>
    <row r="988" spans="1:3">
      <c r="A988" s="1"/>
      <c r="B988" s="1"/>
      <c r="C988" s="1"/>
    </row>
    <row r="989" spans="1:3">
      <c r="A989" s="1"/>
      <c r="B989" s="1"/>
      <c r="C989" s="1"/>
    </row>
    <row r="990" spans="1:3">
      <c r="A990" s="1"/>
      <c r="B990" s="1"/>
      <c r="C990" s="1"/>
    </row>
    <row r="991" spans="1:3">
      <c r="A991" s="1"/>
      <c r="B991" s="1"/>
      <c r="C991" s="1"/>
    </row>
    <row r="992" spans="1:3">
      <c r="A992" s="1"/>
      <c r="B992" s="1"/>
      <c r="C992" s="1"/>
    </row>
    <row r="993" spans="1:3">
      <c r="A993" s="1"/>
      <c r="B993" s="1"/>
      <c r="C993" s="1"/>
    </row>
    <row r="994" spans="1:3">
      <c r="A994" s="1"/>
      <c r="B994" s="1"/>
      <c r="C994" s="1"/>
    </row>
    <row r="995" spans="1:3">
      <c r="A995" s="1"/>
      <c r="B995" s="1"/>
      <c r="C995" s="1"/>
    </row>
    <row r="996" spans="1:3">
      <c r="A996" s="1"/>
      <c r="B996" s="1"/>
      <c r="C996" s="1"/>
    </row>
    <row r="997" spans="1:3">
      <c r="A997" s="1"/>
      <c r="B997" s="1"/>
      <c r="C997" s="1"/>
    </row>
    <row r="998" spans="1:3">
      <c r="A998" s="1"/>
      <c r="B998" s="1"/>
      <c r="C998" s="1"/>
    </row>
    <row r="999" spans="1:3">
      <c r="A999" s="1"/>
      <c r="B999" s="1"/>
      <c r="C999" s="1"/>
    </row>
    <row r="1000" spans="1:3">
      <c r="A1000" s="1"/>
      <c r="B1000" s="1"/>
      <c r="C1000" s="1"/>
    </row>
    <row r="1001" spans="1:3">
      <c r="A1001" s="1"/>
      <c r="B1001" s="1"/>
      <c r="C1001" s="1"/>
    </row>
    <row r="1002" spans="1:3">
      <c r="A1002" s="1"/>
      <c r="B1002" s="1"/>
      <c r="C100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B1001"/>
  <sheetViews>
    <sheetView workbookViewId="0"/>
  </sheetViews>
  <sheetFormatPr baseColWidth="10" defaultColWidth="12.64453125" defaultRowHeight="15.75" customHeight="1"/>
  <sheetData>
    <row r="1" spans="1:2">
      <c r="A1" s="11" t="s">
        <v>5</v>
      </c>
      <c r="B1" s="11" t="s">
        <v>3</v>
      </c>
    </row>
    <row r="2" spans="1:2">
      <c r="A2" s="8" t="s">
        <v>130</v>
      </c>
      <c r="B2" s="8" t="s">
        <v>77</v>
      </c>
    </row>
    <row r="3" spans="1:2">
      <c r="A3" s="8" t="s">
        <v>210</v>
      </c>
      <c r="B3" s="8" t="s">
        <v>21</v>
      </c>
    </row>
    <row r="4" spans="1:2">
      <c r="A4" s="8" t="s">
        <v>172</v>
      </c>
    </row>
    <row r="5" spans="1:2">
      <c r="A5" s="8" t="s">
        <v>214</v>
      </c>
      <c r="B5" s="7"/>
    </row>
    <row r="6" spans="1:2">
      <c r="A6" s="8" t="s">
        <v>216</v>
      </c>
      <c r="B6" s="7"/>
    </row>
    <row r="7" spans="1:2">
      <c r="A7" s="8" t="s">
        <v>171</v>
      </c>
      <c r="B7" s="7"/>
    </row>
    <row r="8" spans="1:2">
      <c r="A8" s="8" t="s">
        <v>220</v>
      </c>
      <c r="B8" s="7"/>
    </row>
    <row r="9" spans="1:2">
      <c r="A9" s="8" t="s">
        <v>194</v>
      </c>
      <c r="B9" s="7"/>
    </row>
    <row r="10" spans="1:2">
      <c r="A10" s="8" t="s">
        <v>169</v>
      </c>
      <c r="B10" s="7"/>
    </row>
    <row r="11" spans="1:2">
      <c r="A11" s="8" t="s">
        <v>223</v>
      </c>
      <c r="B11" s="7"/>
    </row>
    <row r="12" spans="1:2">
      <c r="A12" s="8" t="s">
        <v>225</v>
      </c>
      <c r="B12" s="7"/>
    </row>
    <row r="13" spans="1:2">
      <c r="A13" s="8" t="s">
        <v>181</v>
      </c>
      <c r="B13" s="7"/>
    </row>
    <row r="14" spans="1:2">
      <c r="A14" s="8" t="s">
        <v>227</v>
      </c>
      <c r="B14" s="7"/>
    </row>
    <row r="15" spans="1:2">
      <c r="A15" s="8" t="s">
        <v>229</v>
      </c>
      <c r="B15" s="7"/>
    </row>
    <row r="16" spans="1:2">
      <c r="A16" s="8" t="s">
        <v>230</v>
      </c>
      <c r="B16" s="7"/>
    </row>
    <row r="17" spans="1:2">
      <c r="A17" s="8" t="s">
        <v>232</v>
      </c>
      <c r="B17" s="7"/>
    </row>
    <row r="18" spans="1:2">
      <c r="A18" s="8" t="s">
        <v>186</v>
      </c>
      <c r="B18" s="7"/>
    </row>
    <row r="19" spans="1:2">
      <c r="A19" s="8" t="s">
        <v>234</v>
      </c>
      <c r="B19" s="7"/>
    </row>
    <row r="20" spans="1:2">
      <c r="A20" s="8" t="s">
        <v>192</v>
      </c>
      <c r="B20" s="7"/>
    </row>
    <row r="21" spans="1:2">
      <c r="A21" s="8" t="s">
        <v>237</v>
      </c>
      <c r="B21" s="7"/>
    </row>
    <row r="22" spans="1:2">
      <c r="A22" s="8" t="s">
        <v>238</v>
      </c>
      <c r="B22" s="7"/>
    </row>
    <row r="23" spans="1:2">
      <c r="A23" s="8" t="s">
        <v>240</v>
      </c>
      <c r="B23" s="7"/>
    </row>
    <row r="24" spans="1:2">
      <c r="A24" s="8" t="s">
        <v>242</v>
      </c>
      <c r="B24" s="7"/>
    </row>
    <row r="25" spans="1:2">
      <c r="A25" s="8" t="s">
        <v>244</v>
      </c>
      <c r="B25" s="7"/>
    </row>
    <row r="26" spans="1:2">
      <c r="A26" s="8" t="s">
        <v>246</v>
      </c>
      <c r="B26" s="7"/>
    </row>
    <row r="27" spans="1:2">
      <c r="A27" s="8" t="s">
        <v>21</v>
      </c>
      <c r="B27" s="7"/>
    </row>
    <row r="28" spans="1:2">
      <c r="A28" s="8">
        <v>30</v>
      </c>
      <c r="B28" s="7"/>
    </row>
    <row r="29" spans="1:2">
      <c r="A29" s="8">
        <v>35</v>
      </c>
      <c r="B29" s="7"/>
    </row>
    <row r="30" spans="1:2">
      <c r="A30" s="8">
        <v>40</v>
      </c>
      <c r="B30" s="7"/>
    </row>
    <row r="31" spans="1:2">
      <c r="A31" s="8">
        <v>45</v>
      </c>
      <c r="B31" s="7"/>
    </row>
    <row r="32" spans="1:2">
      <c r="A32" s="8">
        <v>50</v>
      </c>
      <c r="B32" s="7"/>
    </row>
    <row r="33" spans="1:2">
      <c r="A33" s="8">
        <v>55</v>
      </c>
      <c r="B33" s="7"/>
    </row>
    <row r="34" spans="1:2">
      <c r="A34" s="8">
        <v>60</v>
      </c>
      <c r="B34" s="7"/>
    </row>
    <row r="35" spans="1:2">
      <c r="A35" s="8">
        <v>65</v>
      </c>
      <c r="B35" s="7"/>
    </row>
    <row r="36" spans="1:2">
      <c r="A36" s="8">
        <v>70</v>
      </c>
      <c r="B36" s="7"/>
    </row>
    <row r="37" spans="1:2">
      <c r="A37" s="8">
        <v>75</v>
      </c>
      <c r="B37" s="7"/>
    </row>
    <row r="38" spans="1:2">
      <c r="A38" s="8">
        <v>80</v>
      </c>
      <c r="B38" s="7"/>
    </row>
    <row r="39" spans="1:2">
      <c r="A39" s="8">
        <v>85</v>
      </c>
      <c r="B39" s="7"/>
    </row>
    <row r="40" spans="1:2">
      <c r="A40" s="8">
        <v>90</v>
      </c>
      <c r="B40" s="7"/>
    </row>
    <row r="41" spans="1:2">
      <c r="A41" s="8">
        <v>95</v>
      </c>
      <c r="B41" s="7"/>
    </row>
    <row r="42" spans="1:2">
      <c r="A42" s="8">
        <v>0</v>
      </c>
      <c r="B42" s="7"/>
    </row>
    <row r="43" spans="1:2">
      <c r="A43" s="7"/>
      <c r="B43" s="7"/>
    </row>
    <row r="44" spans="1:2">
      <c r="A44" s="7"/>
      <c r="B44" s="7"/>
    </row>
    <row r="45" spans="1:2">
      <c r="A45" s="7"/>
      <c r="B45" s="7"/>
    </row>
    <row r="46" spans="1:2">
      <c r="A46" s="7"/>
      <c r="B46" s="7"/>
    </row>
    <row r="47" spans="1:2">
      <c r="A47" s="7"/>
      <c r="B47" s="7"/>
    </row>
    <row r="48" spans="1:2">
      <c r="A48" s="7"/>
      <c r="B48" s="7"/>
    </row>
    <row r="49" spans="1:2">
      <c r="A49" s="7"/>
      <c r="B49" s="7"/>
    </row>
    <row r="50" spans="1:2">
      <c r="A50" s="7"/>
      <c r="B50" s="7"/>
    </row>
    <row r="51" spans="1:2">
      <c r="A51" s="7"/>
      <c r="B51" s="7"/>
    </row>
    <row r="52" spans="1:2">
      <c r="A52" s="7"/>
      <c r="B52" s="7"/>
    </row>
    <row r="53" spans="1:2">
      <c r="A53" s="7"/>
      <c r="B53" s="7"/>
    </row>
    <row r="54" spans="1:2">
      <c r="A54" s="7"/>
      <c r="B54" s="7"/>
    </row>
    <row r="55" spans="1:2">
      <c r="A55" s="7"/>
      <c r="B55" s="7"/>
    </row>
    <row r="56" spans="1:2">
      <c r="A56" s="7"/>
      <c r="B56" s="7"/>
    </row>
    <row r="57" spans="1:2">
      <c r="A57" s="7"/>
      <c r="B57" s="7"/>
    </row>
    <row r="58" spans="1:2">
      <c r="A58" s="7"/>
      <c r="B58" s="7"/>
    </row>
    <row r="59" spans="1:2">
      <c r="A59" s="7"/>
      <c r="B59" s="7"/>
    </row>
    <row r="60" spans="1:2">
      <c r="A60" s="7"/>
      <c r="B60" s="7"/>
    </row>
    <row r="61" spans="1:2">
      <c r="A61" s="7"/>
      <c r="B61" s="7"/>
    </row>
    <row r="62" spans="1:2">
      <c r="A62" s="7"/>
      <c r="B62" s="7"/>
    </row>
    <row r="63" spans="1:2">
      <c r="A63" s="7"/>
      <c r="B63" s="7"/>
    </row>
    <row r="64" spans="1:2">
      <c r="A64" s="7"/>
      <c r="B64" s="7"/>
    </row>
    <row r="65" spans="1:2">
      <c r="A65" s="7"/>
      <c r="B65" s="7"/>
    </row>
    <row r="66" spans="1:2">
      <c r="A66" s="7"/>
      <c r="B66" s="7"/>
    </row>
    <row r="67" spans="1:2">
      <c r="A67" s="7"/>
      <c r="B67" s="7"/>
    </row>
    <row r="68" spans="1:2">
      <c r="A68" s="7"/>
      <c r="B68" s="7"/>
    </row>
    <row r="69" spans="1:2">
      <c r="A69" s="7"/>
      <c r="B69" s="7"/>
    </row>
    <row r="70" spans="1:2">
      <c r="A70" s="7"/>
      <c r="B70" s="7"/>
    </row>
    <row r="71" spans="1:2">
      <c r="A71" s="7"/>
      <c r="B71" s="7"/>
    </row>
    <row r="72" spans="1:2">
      <c r="A72" s="7"/>
      <c r="B72" s="7"/>
    </row>
    <row r="73" spans="1:2">
      <c r="A73" s="7"/>
      <c r="B73" s="7"/>
    </row>
    <row r="74" spans="1:2">
      <c r="A74" s="7"/>
      <c r="B74" s="7"/>
    </row>
    <row r="75" spans="1:2">
      <c r="A75" s="7"/>
      <c r="B75" s="7"/>
    </row>
    <row r="76" spans="1:2">
      <c r="A76" s="7"/>
      <c r="B76" s="7"/>
    </row>
    <row r="77" spans="1:2">
      <c r="A77" s="7"/>
      <c r="B77" s="7"/>
    </row>
    <row r="78" spans="1:2">
      <c r="A78" s="7"/>
      <c r="B78" s="7"/>
    </row>
    <row r="79" spans="1:2">
      <c r="A79" s="7"/>
      <c r="B79" s="7"/>
    </row>
    <row r="80" spans="1:2">
      <c r="A80" s="7"/>
      <c r="B80" s="7"/>
    </row>
    <row r="81" spans="1:2">
      <c r="A81" s="7"/>
      <c r="B81" s="7"/>
    </row>
    <row r="82" spans="1:2">
      <c r="A82" s="7"/>
      <c r="B82" s="7"/>
    </row>
    <row r="83" spans="1:2">
      <c r="A83" s="7"/>
      <c r="B83" s="7"/>
    </row>
    <row r="84" spans="1:2">
      <c r="A84" s="7"/>
      <c r="B84" s="7"/>
    </row>
    <row r="85" spans="1:2">
      <c r="A85" s="7"/>
      <c r="B85" s="7"/>
    </row>
    <row r="86" spans="1:2">
      <c r="A86" s="7"/>
      <c r="B86" s="7"/>
    </row>
    <row r="87" spans="1:2">
      <c r="A87" s="7"/>
      <c r="B87" s="7"/>
    </row>
    <row r="88" spans="1:2">
      <c r="A88" s="7"/>
      <c r="B88" s="7"/>
    </row>
    <row r="89" spans="1:2">
      <c r="A89" s="7"/>
      <c r="B89" s="7"/>
    </row>
    <row r="90" spans="1:2">
      <c r="A90" s="7"/>
      <c r="B90" s="7"/>
    </row>
    <row r="91" spans="1:2">
      <c r="A91" s="7"/>
      <c r="B91" s="7"/>
    </row>
    <row r="92" spans="1:2">
      <c r="A92" s="7"/>
      <c r="B92" s="7"/>
    </row>
    <row r="93" spans="1:2">
      <c r="A93" s="7"/>
      <c r="B93" s="7"/>
    </row>
    <row r="94" spans="1:2">
      <c r="A94" s="7"/>
      <c r="B94" s="7"/>
    </row>
    <row r="95" spans="1:2">
      <c r="A95" s="7"/>
      <c r="B95" s="7"/>
    </row>
    <row r="96" spans="1:2">
      <c r="A96" s="7"/>
      <c r="B96" s="7"/>
    </row>
    <row r="97" spans="1:2">
      <c r="A97" s="7"/>
      <c r="B97" s="7"/>
    </row>
    <row r="98" spans="1:2">
      <c r="A98" s="7"/>
      <c r="B98" s="7"/>
    </row>
    <row r="99" spans="1:2">
      <c r="A99" s="7"/>
      <c r="B99" s="7"/>
    </row>
    <row r="100" spans="1:2">
      <c r="A100" s="7"/>
      <c r="B100" s="7"/>
    </row>
    <row r="101" spans="1:2">
      <c r="A101" s="7"/>
      <c r="B101" s="7"/>
    </row>
    <row r="102" spans="1:2">
      <c r="A102" s="7"/>
      <c r="B102" s="7"/>
    </row>
    <row r="103" spans="1:2">
      <c r="A103" s="7"/>
      <c r="B103" s="7"/>
    </row>
    <row r="104" spans="1:2">
      <c r="A104" s="7"/>
      <c r="B104" s="7"/>
    </row>
    <row r="105" spans="1:2">
      <c r="A105" s="7"/>
      <c r="B105" s="7"/>
    </row>
    <row r="106" spans="1:2">
      <c r="A106" s="7"/>
      <c r="B106" s="7"/>
    </row>
    <row r="107" spans="1:2">
      <c r="A107" s="7"/>
      <c r="B107" s="7"/>
    </row>
    <row r="108" spans="1:2">
      <c r="A108" s="7"/>
      <c r="B108" s="7"/>
    </row>
    <row r="109" spans="1:2">
      <c r="A109" s="7"/>
      <c r="B109" s="7"/>
    </row>
    <row r="110" spans="1:2">
      <c r="A110" s="7"/>
      <c r="B110" s="7"/>
    </row>
    <row r="111" spans="1:2">
      <c r="A111" s="7"/>
      <c r="B111" s="7"/>
    </row>
    <row r="112" spans="1:2">
      <c r="A112" s="7"/>
      <c r="B112" s="7"/>
    </row>
    <row r="113" spans="1:2">
      <c r="A113" s="7"/>
      <c r="B113" s="7"/>
    </row>
    <row r="114" spans="1:2">
      <c r="A114" s="7"/>
      <c r="B114" s="7"/>
    </row>
    <row r="115" spans="1:2">
      <c r="A115" s="7"/>
      <c r="B115" s="7"/>
    </row>
    <row r="116" spans="1:2">
      <c r="A116" s="7"/>
      <c r="B116" s="7"/>
    </row>
    <row r="117" spans="1:2">
      <c r="A117" s="7"/>
      <c r="B117" s="7"/>
    </row>
    <row r="118" spans="1:2">
      <c r="A118" s="7"/>
      <c r="B118" s="7"/>
    </row>
    <row r="119" spans="1:2">
      <c r="A119" s="7"/>
      <c r="B119" s="7"/>
    </row>
    <row r="120" spans="1:2">
      <c r="A120" s="7"/>
      <c r="B120" s="7"/>
    </row>
    <row r="121" spans="1:2">
      <c r="A121" s="7"/>
      <c r="B121" s="7"/>
    </row>
    <row r="122" spans="1:2">
      <c r="A122" s="7"/>
      <c r="B122" s="7"/>
    </row>
    <row r="123" spans="1:2">
      <c r="A123" s="7"/>
      <c r="B123" s="7"/>
    </row>
    <row r="124" spans="1:2">
      <c r="A124" s="7"/>
      <c r="B124" s="7"/>
    </row>
    <row r="125" spans="1:2">
      <c r="A125" s="7"/>
      <c r="B125" s="7"/>
    </row>
    <row r="126" spans="1:2">
      <c r="A126" s="7"/>
      <c r="B126" s="7"/>
    </row>
    <row r="127" spans="1:2">
      <c r="A127" s="7"/>
      <c r="B127" s="7"/>
    </row>
    <row r="128" spans="1:2">
      <c r="A128" s="7"/>
      <c r="B128" s="7"/>
    </row>
    <row r="129" spans="1:2">
      <c r="A129" s="7"/>
      <c r="B129" s="7"/>
    </row>
    <row r="130" spans="1:2">
      <c r="A130" s="7"/>
      <c r="B130" s="7"/>
    </row>
    <row r="131" spans="1:2">
      <c r="A131" s="7"/>
      <c r="B131" s="7"/>
    </row>
    <row r="132" spans="1:2">
      <c r="A132" s="7"/>
      <c r="B132" s="7"/>
    </row>
    <row r="133" spans="1:2">
      <c r="A133" s="7"/>
      <c r="B133" s="7"/>
    </row>
    <row r="134" spans="1:2">
      <c r="A134" s="7"/>
      <c r="B134" s="7"/>
    </row>
    <row r="135" spans="1:2">
      <c r="A135" s="7"/>
      <c r="B135" s="7"/>
    </row>
    <row r="136" spans="1:2">
      <c r="A136" s="7"/>
      <c r="B136" s="7"/>
    </row>
    <row r="137" spans="1:2">
      <c r="A137" s="7"/>
      <c r="B137" s="7"/>
    </row>
    <row r="138" spans="1:2">
      <c r="A138" s="7"/>
      <c r="B138" s="7"/>
    </row>
    <row r="139" spans="1:2">
      <c r="A139" s="7"/>
      <c r="B139" s="7"/>
    </row>
    <row r="140" spans="1:2">
      <c r="A140" s="7"/>
      <c r="B140" s="7"/>
    </row>
    <row r="141" spans="1:2">
      <c r="A141" s="7"/>
      <c r="B141" s="7"/>
    </row>
    <row r="142" spans="1:2">
      <c r="A142" s="7"/>
      <c r="B142" s="7"/>
    </row>
    <row r="143" spans="1:2">
      <c r="A143" s="7"/>
      <c r="B143" s="7"/>
    </row>
    <row r="144" spans="1:2">
      <c r="A144" s="7"/>
      <c r="B144" s="7"/>
    </row>
    <row r="145" spans="1:2">
      <c r="A145" s="7"/>
      <c r="B145" s="7"/>
    </row>
    <row r="146" spans="1:2">
      <c r="A146" s="7"/>
      <c r="B146" s="7"/>
    </row>
    <row r="147" spans="1:2">
      <c r="A147" s="7"/>
      <c r="B147" s="7"/>
    </row>
    <row r="148" spans="1:2">
      <c r="A148" s="7"/>
      <c r="B148" s="7"/>
    </row>
    <row r="149" spans="1:2">
      <c r="A149" s="7"/>
      <c r="B149" s="7"/>
    </row>
    <row r="150" spans="1:2">
      <c r="A150" s="7"/>
      <c r="B150" s="7"/>
    </row>
    <row r="151" spans="1:2">
      <c r="A151" s="7"/>
      <c r="B151" s="7"/>
    </row>
    <row r="152" spans="1:2">
      <c r="A152" s="7"/>
      <c r="B152" s="7"/>
    </row>
    <row r="153" spans="1:2">
      <c r="A153" s="7"/>
      <c r="B153" s="7"/>
    </row>
    <row r="154" spans="1:2">
      <c r="A154" s="7"/>
      <c r="B154" s="7"/>
    </row>
    <row r="155" spans="1:2">
      <c r="A155" s="7"/>
      <c r="B155" s="7"/>
    </row>
    <row r="156" spans="1:2">
      <c r="A156" s="7"/>
      <c r="B156" s="7"/>
    </row>
    <row r="157" spans="1:2">
      <c r="A157" s="7"/>
      <c r="B157" s="7"/>
    </row>
    <row r="158" spans="1:2">
      <c r="A158" s="7"/>
      <c r="B158" s="7"/>
    </row>
    <row r="159" spans="1:2">
      <c r="A159" s="7"/>
      <c r="B159" s="7"/>
    </row>
    <row r="160" spans="1:2">
      <c r="A160" s="7"/>
      <c r="B160" s="7"/>
    </row>
    <row r="161" spans="1:2">
      <c r="A161" s="7"/>
      <c r="B161" s="7"/>
    </row>
    <row r="162" spans="1:2">
      <c r="A162" s="7"/>
      <c r="B162" s="7"/>
    </row>
    <row r="163" spans="1:2">
      <c r="A163" s="7"/>
      <c r="B163" s="7"/>
    </row>
    <row r="164" spans="1:2">
      <c r="A164" s="7"/>
      <c r="B164" s="7"/>
    </row>
    <row r="165" spans="1:2">
      <c r="A165" s="7"/>
      <c r="B165" s="7"/>
    </row>
    <row r="166" spans="1:2">
      <c r="A166" s="7"/>
      <c r="B166" s="7"/>
    </row>
    <row r="167" spans="1:2">
      <c r="A167" s="7"/>
      <c r="B167" s="7"/>
    </row>
    <row r="168" spans="1:2">
      <c r="A168" s="7"/>
      <c r="B168" s="7"/>
    </row>
    <row r="169" spans="1:2">
      <c r="A169" s="7"/>
      <c r="B169" s="7"/>
    </row>
    <row r="170" spans="1:2">
      <c r="A170" s="7"/>
      <c r="B170" s="7"/>
    </row>
    <row r="171" spans="1:2">
      <c r="A171" s="7"/>
      <c r="B171" s="7"/>
    </row>
    <row r="172" spans="1:2">
      <c r="A172" s="7"/>
      <c r="B172" s="7"/>
    </row>
    <row r="173" spans="1:2">
      <c r="A173" s="7"/>
      <c r="B173" s="7"/>
    </row>
    <row r="174" spans="1:2">
      <c r="A174" s="7"/>
      <c r="B174" s="7"/>
    </row>
    <row r="175" spans="1:2">
      <c r="A175" s="7"/>
      <c r="B175" s="7"/>
    </row>
    <row r="176" spans="1:2">
      <c r="A176" s="7"/>
      <c r="B176" s="7"/>
    </row>
    <row r="177" spans="1:2">
      <c r="A177" s="7"/>
      <c r="B177" s="7"/>
    </row>
    <row r="178" spans="1:2">
      <c r="A178" s="7"/>
      <c r="B178" s="7"/>
    </row>
    <row r="179" spans="1:2">
      <c r="A179" s="7"/>
      <c r="B179" s="7"/>
    </row>
    <row r="180" spans="1:2">
      <c r="A180" s="7"/>
      <c r="B180" s="7"/>
    </row>
    <row r="181" spans="1:2">
      <c r="A181" s="7"/>
      <c r="B181" s="7"/>
    </row>
    <row r="182" spans="1:2">
      <c r="A182" s="7"/>
      <c r="B182" s="7"/>
    </row>
    <row r="183" spans="1:2">
      <c r="A183" s="7"/>
      <c r="B183" s="7"/>
    </row>
    <row r="184" spans="1:2">
      <c r="A184" s="7"/>
      <c r="B184" s="7"/>
    </row>
    <row r="185" spans="1:2">
      <c r="A185" s="7"/>
      <c r="B185" s="7"/>
    </row>
    <row r="186" spans="1:2">
      <c r="A186" s="7"/>
      <c r="B186" s="7"/>
    </row>
    <row r="187" spans="1:2">
      <c r="A187" s="7"/>
      <c r="B187" s="7"/>
    </row>
    <row r="188" spans="1:2">
      <c r="A188" s="7"/>
      <c r="B188" s="7"/>
    </row>
    <row r="189" spans="1:2">
      <c r="A189" s="7"/>
      <c r="B189" s="7"/>
    </row>
    <row r="190" spans="1:2">
      <c r="A190" s="7"/>
      <c r="B190" s="7"/>
    </row>
    <row r="191" spans="1:2">
      <c r="A191" s="7"/>
      <c r="B191" s="7"/>
    </row>
    <row r="192" spans="1:2">
      <c r="A192" s="7"/>
      <c r="B192" s="7"/>
    </row>
    <row r="193" spans="1:2">
      <c r="A193" s="7"/>
      <c r="B193" s="7"/>
    </row>
    <row r="194" spans="1:2">
      <c r="A194" s="7"/>
      <c r="B194" s="7"/>
    </row>
    <row r="195" spans="1:2">
      <c r="A195" s="7"/>
      <c r="B195" s="7"/>
    </row>
    <row r="196" spans="1:2">
      <c r="A196" s="7"/>
      <c r="B196" s="7"/>
    </row>
    <row r="197" spans="1:2">
      <c r="A197" s="7"/>
      <c r="B197" s="7"/>
    </row>
    <row r="198" spans="1:2">
      <c r="A198" s="7"/>
      <c r="B198" s="7"/>
    </row>
    <row r="199" spans="1:2">
      <c r="A199" s="7"/>
      <c r="B199" s="7"/>
    </row>
    <row r="200" spans="1:2">
      <c r="A200" s="7"/>
      <c r="B200" s="7"/>
    </row>
    <row r="201" spans="1:2">
      <c r="A201" s="7"/>
      <c r="B201" s="7"/>
    </row>
    <row r="202" spans="1:2">
      <c r="A202" s="7"/>
      <c r="B202" s="7"/>
    </row>
    <row r="203" spans="1:2">
      <c r="A203" s="7"/>
      <c r="B203" s="7"/>
    </row>
    <row r="204" spans="1:2">
      <c r="A204" s="7"/>
      <c r="B204" s="7"/>
    </row>
    <row r="205" spans="1:2">
      <c r="A205" s="7"/>
      <c r="B205" s="7"/>
    </row>
    <row r="206" spans="1:2">
      <c r="A206" s="7"/>
      <c r="B206" s="7"/>
    </row>
    <row r="207" spans="1:2">
      <c r="A207" s="7"/>
      <c r="B207" s="7"/>
    </row>
    <row r="208" spans="1:2">
      <c r="A208" s="7"/>
      <c r="B208" s="7"/>
    </row>
    <row r="209" spans="1:2">
      <c r="A209" s="7"/>
      <c r="B209" s="7"/>
    </row>
    <row r="210" spans="1:2">
      <c r="A210" s="7"/>
      <c r="B210" s="7"/>
    </row>
    <row r="211" spans="1:2">
      <c r="A211" s="7"/>
      <c r="B211" s="7"/>
    </row>
    <row r="212" spans="1:2">
      <c r="A212" s="7"/>
      <c r="B212" s="7"/>
    </row>
    <row r="213" spans="1:2">
      <c r="A213" s="7"/>
      <c r="B213" s="7"/>
    </row>
    <row r="214" spans="1:2">
      <c r="A214" s="7"/>
      <c r="B214" s="7"/>
    </row>
    <row r="215" spans="1:2">
      <c r="A215" s="7"/>
      <c r="B215" s="7"/>
    </row>
    <row r="216" spans="1:2">
      <c r="A216" s="7"/>
      <c r="B216" s="7"/>
    </row>
    <row r="217" spans="1:2">
      <c r="A217" s="7"/>
      <c r="B217" s="7"/>
    </row>
    <row r="218" spans="1:2">
      <c r="A218" s="7"/>
      <c r="B218" s="7"/>
    </row>
    <row r="219" spans="1:2">
      <c r="A219" s="7"/>
      <c r="B219" s="7"/>
    </row>
    <row r="220" spans="1:2">
      <c r="A220" s="7"/>
      <c r="B220" s="7"/>
    </row>
    <row r="221" spans="1:2">
      <c r="A221" s="7"/>
      <c r="B221" s="7"/>
    </row>
    <row r="222" spans="1:2">
      <c r="A222" s="7"/>
      <c r="B222" s="7"/>
    </row>
    <row r="223" spans="1:2">
      <c r="A223" s="7"/>
      <c r="B223" s="7"/>
    </row>
    <row r="224" spans="1:2">
      <c r="A224" s="7"/>
      <c r="B224" s="7"/>
    </row>
    <row r="225" spans="1:2">
      <c r="A225" s="7"/>
      <c r="B225" s="7"/>
    </row>
    <row r="226" spans="1:2">
      <c r="A226" s="7"/>
      <c r="B226" s="7"/>
    </row>
    <row r="227" spans="1:2">
      <c r="A227" s="7"/>
      <c r="B227" s="7"/>
    </row>
    <row r="228" spans="1:2">
      <c r="A228" s="7"/>
      <c r="B228" s="7"/>
    </row>
    <row r="229" spans="1:2">
      <c r="A229" s="7"/>
      <c r="B229" s="7"/>
    </row>
    <row r="230" spans="1:2">
      <c r="A230" s="7"/>
      <c r="B230" s="7"/>
    </row>
    <row r="231" spans="1:2">
      <c r="A231" s="7"/>
      <c r="B231" s="7"/>
    </row>
    <row r="232" spans="1:2">
      <c r="A232" s="7"/>
      <c r="B232" s="7"/>
    </row>
    <row r="233" spans="1:2">
      <c r="A233" s="7"/>
      <c r="B233" s="7"/>
    </row>
    <row r="234" spans="1:2">
      <c r="A234" s="7"/>
      <c r="B234" s="7"/>
    </row>
    <row r="235" spans="1:2">
      <c r="A235" s="7"/>
      <c r="B235" s="7"/>
    </row>
    <row r="236" spans="1:2">
      <c r="A236" s="7"/>
      <c r="B236" s="7"/>
    </row>
    <row r="237" spans="1:2">
      <c r="A237" s="7"/>
      <c r="B237" s="7"/>
    </row>
    <row r="238" spans="1:2">
      <c r="A238" s="7"/>
      <c r="B238" s="7"/>
    </row>
    <row r="239" spans="1:2">
      <c r="A239" s="7"/>
      <c r="B239" s="7"/>
    </row>
    <row r="240" spans="1:2">
      <c r="A240" s="7"/>
      <c r="B240" s="7"/>
    </row>
    <row r="241" spans="1:2">
      <c r="A241" s="7"/>
      <c r="B241" s="7"/>
    </row>
    <row r="242" spans="1:2">
      <c r="A242" s="7"/>
      <c r="B242" s="7"/>
    </row>
    <row r="243" spans="1:2">
      <c r="A243" s="7"/>
      <c r="B243" s="7"/>
    </row>
    <row r="244" spans="1:2">
      <c r="A244" s="7"/>
      <c r="B244" s="7"/>
    </row>
    <row r="245" spans="1:2">
      <c r="A245" s="7"/>
      <c r="B245" s="7"/>
    </row>
    <row r="246" spans="1:2">
      <c r="A246" s="7"/>
      <c r="B246" s="7"/>
    </row>
    <row r="247" spans="1:2">
      <c r="A247" s="7"/>
      <c r="B247" s="7"/>
    </row>
    <row r="248" spans="1:2">
      <c r="A248" s="7"/>
      <c r="B248" s="7"/>
    </row>
    <row r="249" spans="1:2">
      <c r="A249" s="7"/>
      <c r="B249" s="7"/>
    </row>
    <row r="250" spans="1:2">
      <c r="A250" s="7"/>
      <c r="B250" s="7"/>
    </row>
    <row r="251" spans="1:2">
      <c r="A251" s="7"/>
      <c r="B251" s="7"/>
    </row>
    <row r="252" spans="1:2">
      <c r="A252" s="7"/>
      <c r="B252" s="7"/>
    </row>
    <row r="253" spans="1:2">
      <c r="A253" s="7"/>
      <c r="B253" s="7"/>
    </row>
    <row r="254" spans="1:2">
      <c r="A254" s="7"/>
      <c r="B254" s="7"/>
    </row>
    <row r="255" spans="1:2">
      <c r="A255" s="7"/>
      <c r="B255" s="7"/>
    </row>
    <row r="256" spans="1:2">
      <c r="A256" s="7"/>
      <c r="B256" s="7"/>
    </row>
    <row r="257" spans="1:2">
      <c r="A257" s="7"/>
      <c r="B257" s="7"/>
    </row>
    <row r="258" spans="1:2">
      <c r="A258" s="7"/>
      <c r="B258" s="7"/>
    </row>
    <row r="259" spans="1:2">
      <c r="A259" s="7"/>
      <c r="B259" s="7"/>
    </row>
    <row r="260" spans="1:2">
      <c r="A260" s="7"/>
      <c r="B260" s="7"/>
    </row>
    <row r="261" spans="1:2">
      <c r="A261" s="7"/>
      <c r="B261" s="7"/>
    </row>
    <row r="262" spans="1:2">
      <c r="A262" s="7"/>
      <c r="B262" s="7"/>
    </row>
    <row r="263" spans="1:2">
      <c r="A263" s="7"/>
      <c r="B263" s="7"/>
    </row>
    <row r="264" spans="1:2">
      <c r="A264" s="7"/>
      <c r="B264" s="7"/>
    </row>
    <row r="265" spans="1:2">
      <c r="A265" s="7"/>
      <c r="B265" s="7"/>
    </row>
    <row r="266" spans="1:2">
      <c r="A266" s="7"/>
      <c r="B266" s="7"/>
    </row>
    <row r="267" spans="1:2">
      <c r="A267" s="7"/>
      <c r="B267" s="7"/>
    </row>
    <row r="268" spans="1:2">
      <c r="A268" s="7"/>
      <c r="B268" s="7"/>
    </row>
    <row r="269" spans="1:2">
      <c r="A269" s="7"/>
      <c r="B269" s="7"/>
    </row>
    <row r="270" spans="1:2">
      <c r="A270" s="7"/>
      <c r="B270" s="7"/>
    </row>
    <row r="271" spans="1:2">
      <c r="A271" s="7"/>
      <c r="B271" s="7"/>
    </row>
    <row r="272" spans="1:2">
      <c r="A272" s="7"/>
      <c r="B272" s="7"/>
    </row>
    <row r="273" spans="1:2">
      <c r="A273" s="7"/>
      <c r="B273" s="7"/>
    </row>
    <row r="274" spans="1:2">
      <c r="A274" s="7"/>
      <c r="B274" s="7"/>
    </row>
    <row r="275" spans="1:2">
      <c r="A275" s="7"/>
      <c r="B275" s="7"/>
    </row>
    <row r="276" spans="1:2">
      <c r="A276" s="7"/>
      <c r="B276" s="7"/>
    </row>
    <row r="277" spans="1:2">
      <c r="A277" s="7"/>
      <c r="B277" s="7"/>
    </row>
    <row r="278" spans="1:2">
      <c r="A278" s="7"/>
      <c r="B278" s="7"/>
    </row>
    <row r="279" spans="1:2">
      <c r="A279" s="7"/>
      <c r="B279" s="7"/>
    </row>
    <row r="280" spans="1:2">
      <c r="A280" s="7"/>
      <c r="B280" s="7"/>
    </row>
    <row r="281" spans="1:2">
      <c r="A281" s="7"/>
      <c r="B281" s="7"/>
    </row>
    <row r="282" spans="1:2">
      <c r="A282" s="7"/>
      <c r="B282" s="7"/>
    </row>
    <row r="283" spans="1:2">
      <c r="A283" s="7"/>
      <c r="B283" s="7"/>
    </row>
    <row r="284" spans="1:2">
      <c r="A284" s="7"/>
      <c r="B284" s="7"/>
    </row>
    <row r="285" spans="1:2">
      <c r="A285" s="7"/>
      <c r="B285" s="7"/>
    </row>
    <row r="286" spans="1:2">
      <c r="A286" s="7"/>
      <c r="B286" s="7"/>
    </row>
    <row r="287" spans="1:2">
      <c r="A287" s="7"/>
      <c r="B287" s="7"/>
    </row>
    <row r="288" spans="1:2">
      <c r="A288" s="7"/>
      <c r="B288" s="7"/>
    </row>
    <row r="289" spans="1:2">
      <c r="A289" s="7"/>
      <c r="B289" s="7"/>
    </row>
    <row r="290" spans="1:2">
      <c r="A290" s="7"/>
      <c r="B290" s="7"/>
    </row>
    <row r="291" spans="1:2">
      <c r="A291" s="7"/>
      <c r="B291" s="7"/>
    </row>
    <row r="292" spans="1:2">
      <c r="A292" s="7"/>
      <c r="B292" s="7"/>
    </row>
    <row r="293" spans="1:2">
      <c r="A293" s="7"/>
      <c r="B293" s="7"/>
    </row>
    <row r="294" spans="1:2">
      <c r="A294" s="7"/>
      <c r="B294" s="7"/>
    </row>
    <row r="295" spans="1:2">
      <c r="A295" s="7"/>
      <c r="B295" s="7"/>
    </row>
    <row r="296" spans="1:2">
      <c r="A296" s="7"/>
      <c r="B296" s="7"/>
    </row>
    <row r="297" spans="1:2">
      <c r="A297" s="7"/>
      <c r="B297" s="7"/>
    </row>
    <row r="298" spans="1:2">
      <c r="A298" s="7"/>
      <c r="B298" s="7"/>
    </row>
    <row r="299" spans="1:2">
      <c r="A299" s="7"/>
      <c r="B299" s="7"/>
    </row>
    <row r="300" spans="1:2">
      <c r="A300" s="7"/>
      <c r="B300" s="7"/>
    </row>
    <row r="301" spans="1:2">
      <c r="A301" s="7"/>
      <c r="B301" s="7"/>
    </row>
    <row r="302" spans="1:2">
      <c r="A302" s="7"/>
      <c r="B302" s="7"/>
    </row>
    <row r="303" spans="1:2">
      <c r="A303" s="7"/>
      <c r="B303" s="7"/>
    </row>
    <row r="304" spans="1:2">
      <c r="A304" s="7"/>
      <c r="B304" s="7"/>
    </row>
    <row r="305" spans="1:2">
      <c r="A305" s="7"/>
      <c r="B305" s="7"/>
    </row>
    <row r="306" spans="1:2">
      <c r="A306" s="7"/>
      <c r="B306" s="7"/>
    </row>
    <row r="307" spans="1:2">
      <c r="A307" s="7"/>
      <c r="B307" s="7"/>
    </row>
    <row r="308" spans="1:2">
      <c r="A308" s="7"/>
      <c r="B308" s="7"/>
    </row>
    <row r="309" spans="1:2">
      <c r="A309" s="7"/>
      <c r="B309" s="7"/>
    </row>
    <row r="310" spans="1:2">
      <c r="A310" s="7"/>
      <c r="B310" s="7"/>
    </row>
    <row r="311" spans="1:2">
      <c r="A311" s="7"/>
      <c r="B311" s="7"/>
    </row>
    <row r="312" spans="1:2">
      <c r="A312" s="7"/>
      <c r="B312" s="7"/>
    </row>
    <row r="313" spans="1:2">
      <c r="A313" s="7"/>
      <c r="B313" s="7"/>
    </row>
    <row r="314" spans="1:2">
      <c r="A314" s="7"/>
      <c r="B314" s="7"/>
    </row>
    <row r="315" spans="1:2">
      <c r="A315" s="7"/>
      <c r="B315" s="7"/>
    </row>
    <row r="316" spans="1:2">
      <c r="A316" s="7"/>
      <c r="B316" s="7"/>
    </row>
    <row r="317" spans="1:2">
      <c r="A317" s="7"/>
      <c r="B317" s="7"/>
    </row>
    <row r="318" spans="1:2">
      <c r="A318" s="7"/>
      <c r="B318" s="7"/>
    </row>
    <row r="319" spans="1:2">
      <c r="A319" s="7"/>
      <c r="B319" s="7"/>
    </row>
    <row r="320" spans="1:2">
      <c r="A320" s="7"/>
      <c r="B320" s="7"/>
    </row>
    <row r="321" spans="1:2">
      <c r="A321" s="7"/>
      <c r="B321" s="7"/>
    </row>
    <row r="322" spans="1:2">
      <c r="A322" s="7"/>
      <c r="B322" s="7"/>
    </row>
    <row r="323" spans="1:2">
      <c r="A323" s="7"/>
      <c r="B323" s="7"/>
    </row>
    <row r="324" spans="1:2">
      <c r="A324" s="7"/>
      <c r="B324" s="7"/>
    </row>
    <row r="325" spans="1:2">
      <c r="A325" s="7"/>
      <c r="B325" s="7"/>
    </row>
    <row r="326" spans="1:2">
      <c r="A326" s="7"/>
      <c r="B326" s="7"/>
    </row>
    <row r="327" spans="1:2">
      <c r="A327" s="7"/>
      <c r="B327" s="7"/>
    </row>
    <row r="328" spans="1:2">
      <c r="A328" s="7"/>
      <c r="B328" s="7"/>
    </row>
    <row r="329" spans="1:2">
      <c r="A329" s="7"/>
      <c r="B329" s="7"/>
    </row>
    <row r="330" spans="1:2">
      <c r="A330" s="7"/>
      <c r="B330" s="7"/>
    </row>
    <row r="331" spans="1:2">
      <c r="A331" s="7"/>
      <c r="B331" s="7"/>
    </row>
    <row r="332" spans="1:2">
      <c r="A332" s="7"/>
      <c r="B332" s="7"/>
    </row>
    <row r="333" spans="1:2">
      <c r="A333" s="7"/>
      <c r="B333" s="7"/>
    </row>
    <row r="334" spans="1:2">
      <c r="A334" s="7"/>
      <c r="B334" s="7"/>
    </row>
    <row r="335" spans="1:2">
      <c r="A335" s="7"/>
      <c r="B335" s="7"/>
    </row>
    <row r="336" spans="1:2">
      <c r="A336" s="7"/>
      <c r="B336" s="7"/>
    </row>
    <row r="337" spans="1:2">
      <c r="A337" s="7"/>
      <c r="B337" s="7"/>
    </row>
    <row r="338" spans="1:2">
      <c r="A338" s="7"/>
      <c r="B338" s="7"/>
    </row>
    <row r="339" spans="1:2">
      <c r="A339" s="7"/>
      <c r="B339" s="7"/>
    </row>
    <row r="340" spans="1:2">
      <c r="A340" s="7"/>
      <c r="B340" s="7"/>
    </row>
    <row r="341" spans="1:2">
      <c r="A341" s="7"/>
      <c r="B341" s="7"/>
    </row>
    <row r="342" spans="1:2">
      <c r="A342" s="7"/>
      <c r="B342" s="7"/>
    </row>
    <row r="343" spans="1:2">
      <c r="A343" s="7"/>
      <c r="B343" s="7"/>
    </row>
    <row r="344" spans="1:2">
      <c r="A344" s="7"/>
      <c r="B344" s="7"/>
    </row>
    <row r="345" spans="1:2">
      <c r="A345" s="7"/>
      <c r="B345" s="7"/>
    </row>
    <row r="346" spans="1:2">
      <c r="A346" s="7"/>
      <c r="B346" s="7"/>
    </row>
    <row r="347" spans="1:2">
      <c r="A347" s="7"/>
      <c r="B347" s="7"/>
    </row>
    <row r="348" spans="1:2">
      <c r="A348" s="7"/>
      <c r="B348" s="7"/>
    </row>
    <row r="349" spans="1:2">
      <c r="A349" s="7"/>
      <c r="B349" s="7"/>
    </row>
    <row r="350" spans="1:2">
      <c r="A350" s="7"/>
      <c r="B350" s="7"/>
    </row>
    <row r="351" spans="1:2">
      <c r="A351" s="7"/>
      <c r="B351" s="7"/>
    </row>
    <row r="352" spans="1:2">
      <c r="A352" s="7"/>
      <c r="B352" s="7"/>
    </row>
    <row r="353" spans="1:2">
      <c r="A353" s="7"/>
      <c r="B353" s="7"/>
    </row>
    <row r="354" spans="1:2">
      <c r="A354" s="7"/>
      <c r="B354" s="7"/>
    </row>
    <row r="355" spans="1:2">
      <c r="A355" s="7"/>
      <c r="B355" s="7"/>
    </row>
    <row r="356" spans="1:2">
      <c r="A356" s="7"/>
      <c r="B356" s="7"/>
    </row>
    <row r="357" spans="1:2">
      <c r="A357" s="7"/>
      <c r="B357" s="7"/>
    </row>
    <row r="358" spans="1:2">
      <c r="A358" s="7"/>
      <c r="B358" s="7"/>
    </row>
    <row r="359" spans="1:2">
      <c r="A359" s="7"/>
      <c r="B359" s="7"/>
    </row>
    <row r="360" spans="1:2">
      <c r="A360" s="7"/>
      <c r="B360" s="7"/>
    </row>
    <row r="361" spans="1:2">
      <c r="A361" s="7"/>
      <c r="B361" s="7"/>
    </row>
    <row r="362" spans="1:2">
      <c r="A362" s="7"/>
      <c r="B362" s="7"/>
    </row>
    <row r="363" spans="1:2">
      <c r="A363" s="7"/>
      <c r="B363" s="7"/>
    </row>
    <row r="364" spans="1:2">
      <c r="A364" s="7"/>
      <c r="B364" s="7"/>
    </row>
    <row r="365" spans="1:2">
      <c r="A365" s="7"/>
      <c r="B365" s="7"/>
    </row>
    <row r="366" spans="1:2">
      <c r="A366" s="7"/>
      <c r="B366" s="7"/>
    </row>
    <row r="367" spans="1:2">
      <c r="A367" s="7"/>
      <c r="B367" s="7"/>
    </row>
    <row r="368" spans="1:2">
      <c r="A368" s="7"/>
      <c r="B368" s="7"/>
    </row>
    <row r="369" spans="1:2">
      <c r="A369" s="7"/>
      <c r="B369" s="7"/>
    </row>
    <row r="370" spans="1:2">
      <c r="A370" s="7"/>
      <c r="B370" s="7"/>
    </row>
    <row r="371" spans="1:2">
      <c r="A371" s="7"/>
      <c r="B371" s="7"/>
    </row>
    <row r="372" spans="1:2">
      <c r="A372" s="7"/>
      <c r="B372" s="7"/>
    </row>
    <row r="373" spans="1:2">
      <c r="A373" s="7"/>
      <c r="B373" s="7"/>
    </row>
    <row r="374" spans="1:2">
      <c r="A374" s="7"/>
      <c r="B374" s="7"/>
    </row>
    <row r="375" spans="1:2">
      <c r="A375" s="7"/>
      <c r="B375" s="7"/>
    </row>
    <row r="376" spans="1:2">
      <c r="A376" s="7"/>
      <c r="B376" s="7"/>
    </row>
    <row r="377" spans="1:2">
      <c r="A377" s="7"/>
      <c r="B377" s="7"/>
    </row>
    <row r="378" spans="1:2">
      <c r="A378" s="7"/>
      <c r="B378" s="7"/>
    </row>
    <row r="379" spans="1:2">
      <c r="A379" s="7"/>
      <c r="B379" s="7"/>
    </row>
    <row r="380" spans="1:2">
      <c r="A380" s="7"/>
      <c r="B380" s="7"/>
    </row>
    <row r="381" spans="1:2">
      <c r="A381" s="7"/>
      <c r="B381" s="7"/>
    </row>
    <row r="382" spans="1:2">
      <c r="A382" s="7"/>
      <c r="B382" s="7"/>
    </row>
    <row r="383" spans="1:2">
      <c r="A383" s="7"/>
      <c r="B383" s="7"/>
    </row>
    <row r="384" spans="1:2">
      <c r="A384" s="7"/>
      <c r="B384" s="7"/>
    </row>
    <row r="385" spans="1:2">
      <c r="A385" s="7"/>
      <c r="B385" s="7"/>
    </row>
    <row r="386" spans="1:2">
      <c r="A386" s="7"/>
      <c r="B386" s="7"/>
    </row>
    <row r="387" spans="1:2">
      <c r="A387" s="7"/>
      <c r="B387" s="7"/>
    </row>
    <row r="388" spans="1:2">
      <c r="A388" s="7"/>
      <c r="B388" s="7"/>
    </row>
    <row r="389" spans="1:2">
      <c r="A389" s="7"/>
      <c r="B389" s="7"/>
    </row>
    <row r="390" spans="1:2">
      <c r="A390" s="7"/>
      <c r="B390" s="7"/>
    </row>
    <row r="391" spans="1:2">
      <c r="A391" s="7"/>
      <c r="B391" s="7"/>
    </row>
    <row r="392" spans="1:2">
      <c r="A392" s="7"/>
      <c r="B392" s="7"/>
    </row>
    <row r="393" spans="1:2">
      <c r="A393" s="7"/>
      <c r="B393" s="7"/>
    </row>
    <row r="394" spans="1:2">
      <c r="A394" s="7"/>
      <c r="B394" s="7"/>
    </row>
    <row r="395" spans="1:2">
      <c r="A395" s="7"/>
      <c r="B395" s="7"/>
    </row>
    <row r="396" spans="1:2">
      <c r="A396" s="7"/>
      <c r="B396" s="7"/>
    </row>
    <row r="397" spans="1:2">
      <c r="A397" s="7"/>
      <c r="B397" s="7"/>
    </row>
    <row r="398" spans="1:2">
      <c r="A398" s="7"/>
      <c r="B398" s="7"/>
    </row>
    <row r="399" spans="1:2">
      <c r="A399" s="7"/>
      <c r="B399" s="7"/>
    </row>
    <row r="400" spans="1:2">
      <c r="A400" s="7"/>
      <c r="B400" s="7"/>
    </row>
    <row r="401" spans="1:2">
      <c r="A401" s="7"/>
      <c r="B401" s="7"/>
    </row>
    <row r="402" spans="1:2">
      <c r="A402" s="7"/>
      <c r="B402" s="7"/>
    </row>
    <row r="403" spans="1:2">
      <c r="A403" s="7"/>
      <c r="B403" s="7"/>
    </row>
    <row r="404" spans="1:2">
      <c r="A404" s="7"/>
      <c r="B404" s="7"/>
    </row>
    <row r="405" spans="1:2">
      <c r="A405" s="7"/>
      <c r="B405" s="7"/>
    </row>
    <row r="406" spans="1:2">
      <c r="A406" s="7"/>
      <c r="B406" s="7"/>
    </row>
    <row r="407" spans="1:2">
      <c r="A407" s="7"/>
      <c r="B407" s="7"/>
    </row>
    <row r="408" spans="1:2">
      <c r="A408" s="7"/>
      <c r="B408" s="7"/>
    </row>
    <row r="409" spans="1:2">
      <c r="A409" s="7"/>
      <c r="B409" s="7"/>
    </row>
    <row r="410" spans="1:2">
      <c r="A410" s="7"/>
      <c r="B410" s="7"/>
    </row>
    <row r="411" spans="1:2">
      <c r="A411" s="7"/>
      <c r="B411" s="7"/>
    </row>
    <row r="412" spans="1:2">
      <c r="A412" s="7"/>
      <c r="B412" s="7"/>
    </row>
    <row r="413" spans="1:2">
      <c r="A413" s="7"/>
      <c r="B413" s="7"/>
    </row>
    <row r="414" spans="1:2">
      <c r="A414" s="7"/>
      <c r="B414" s="7"/>
    </row>
    <row r="415" spans="1:2">
      <c r="A415" s="7"/>
      <c r="B415" s="7"/>
    </row>
    <row r="416" spans="1:2">
      <c r="A416" s="7"/>
      <c r="B416" s="7"/>
    </row>
    <row r="417" spans="1:2">
      <c r="A417" s="7"/>
      <c r="B417" s="7"/>
    </row>
    <row r="418" spans="1:2">
      <c r="A418" s="7"/>
      <c r="B418" s="7"/>
    </row>
    <row r="419" spans="1:2">
      <c r="A419" s="7"/>
      <c r="B419" s="7"/>
    </row>
    <row r="420" spans="1:2">
      <c r="A420" s="7"/>
      <c r="B420" s="7"/>
    </row>
    <row r="421" spans="1:2">
      <c r="A421" s="7"/>
      <c r="B421" s="7"/>
    </row>
    <row r="422" spans="1:2">
      <c r="A422" s="7"/>
      <c r="B422" s="7"/>
    </row>
    <row r="423" spans="1:2">
      <c r="A423" s="7"/>
      <c r="B423" s="7"/>
    </row>
    <row r="424" spans="1:2">
      <c r="A424" s="7"/>
      <c r="B424" s="7"/>
    </row>
    <row r="425" spans="1:2">
      <c r="A425" s="7"/>
      <c r="B425" s="7"/>
    </row>
    <row r="426" spans="1:2">
      <c r="A426" s="7"/>
      <c r="B426" s="7"/>
    </row>
    <row r="427" spans="1:2">
      <c r="A427" s="7"/>
      <c r="B427" s="7"/>
    </row>
    <row r="428" spans="1:2">
      <c r="A428" s="7"/>
      <c r="B428" s="7"/>
    </row>
    <row r="429" spans="1:2">
      <c r="A429" s="7"/>
      <c r="B429" s="7"/>
    </row>
    <row r="430" spans="1:2">
      <c r="A430" s="7"/>
      <c r="B430" s="7"/>
    </row>
    <row r="431" spans="1:2">
      <c r="A431" s="7"/>
      <c r="B431" s="7"/>
    </row>
    <row r="432" spans="1:2">
      <c r="A432" s="7"/>
      <c r="B432" s="7"/>
    </row>
    <row r="433" spans="1:2">
      <c r="A433" s="7"/>
      <c r="B433" s="7"/>
    </row>
    <row r="434" spans="1:2">
      <c r="A434" s="7"/>
      <c r="B434" s="7"/>
    </row>
    <row r="435" spans="1:2">
      <c r="A435" s="7"/>
      <c r="B435" s="7"/>
    </row>
    <row r="436" spans="1:2">
      <c r="A436" s="7"/>
      <c r="B436" s="7"/>
    </row>
    <row r="437" spans="1:2">
      <c r="A437" s="7"/>
      <c r="B437" s="7"/>
    </row>
    <row r="438" spans="1:2">
      <c r="A438" s="7"/>
      <c r="B438" s="7"/>
    </row>
    <row r="439" spans="1:2">
      <c r="A439" s="7"/>
      <c r="B439" s="7"/>
    </row>
    <row r="440" spans="1:2">
      <c r="A440" s="7"/>
      <c r="B440" s="7"/>
    </row>
    <row r="441" spans="1:2">
      <c r="A441" s="7"/>
      <c r="B441" s="7"/>
    </row>
    <row r="442" spans="1:2">
      <c r="A442" s="7"/>
      <c r="B442" s="7"/>
    </row>
    <row r="443" spans="1:2">
      <c r="A443" s="7"/>
      <c r="B443" s="7"/>
    </row>
    <row r="444" spans="1:2">
      <c r="A444" s="7"/>
      <c r="B444" s="7"/>
    </row>
    <row r="445" spans="1:2">
      <c r="A445" s="7"/>
      <c r="B445" s="7"/>
    </row>
    <row r="446" spans="1:2">
      <c r="A446" s="7"/>
      <c r="B446" s="7"/>
    </row>
    <row r="447" spans="1:2">
      <c r="A447" s="7"/>
      <c r="B447" s="7"/>
    </row>
    <row r="448" spans="1:2">
      <c r="A448" s="7"/>
      <c r="B448" s="7"/>
    </row>
    <row r="449" spans="1:2">
      <c r="A449" s="7"/>
      <c r="B449" s="7"/>
    </row>
    <row r="450" spans="1:2">
      <c r="A450" s="7"/>
      <c r="B450" s="7"/>
    </row>
    <row r="451" spans="1:2">
      <c r="A451" s="7"/>
      <c r="B451" s="7"/>
    </row>
    <row r="452" spans="1:2">
      <c r="A452" s="7"/>
      <c r="B452" s="7"/>
    </row>
    <row r="453" spans="1:2">
      <c r="A453" s="7"/>
      <c r="B453" s="7"/>
    </row>
    <row r="454" spans="1:2">
      <c r="A454" s="7"/>
      <c r="B454" s="7"/>
    </row>
    <row r="455" spans="1:2">
      <c r="A455" s="7"/>
      <c r="B455" s="7"/>
    </row>
    <row r="456" spans="1:2">
      <c r="A456" s="7"/>
      <c r="B456" s="7"/>
    </row>
    <row r="457" spans="1:2">
      <c r="A457" s="7"/>
      <c r="B457" s="7"/>
    </row>
    <row r="458" spans="1:2">
      <c r="A458" s="7"/>
      <c r="B458" s="7"/>
    </row>
    <row r="459" spans="1:2">
      <c r="A459" s="7"/>
      <c r="B459" s="7"/>
    </row>
    <row r="460" spans="1:2">
      <c r="A460" s="7"/>
      <c r="B460" s="7"/>
    </row>
    <row r="461" spans="1:2">
      <c r="A461" s="7"/>
      <c r="B461" s="7"/>
    </row>
    <row r="462" spans="1:2">
      <c r="A462" s="7"/>
      <c r="B462" s="7"/>
    </row>
    <row r="463" spans="1:2">
      <c r="A463" s="7"/>
      <c r="B463" s="7"/>
    </row>
    <row r="464" spans="1:2">
      <c r="A464" s="7"/>
      <c r="B464" s="7"/>
    </row>
    <row r="465" spans="1:2">
      <c r="A465" s="7"/>
      <c r="B465" s="7"/>
    </row>
    <row r="466" spans="1:2">
      <c r="A466" s="7"/>
      <c r="B466" s="7"/>
    </row>
    <row r="467" spans="1:2">
      <c r="A467" s="7"/>
      <c r="B467" s="7"/>
    </row>
    <row r="468" spans="1:2">
      <c r="A468" s="7"/>
      <c r="B468" s="7"/>
    </row>
    <row r="469" spans="1:2">
      <c r="A469" s="7"/>
      <c r="B469" s="7"/>
    </row>
    <row r="470" spans="1:2">
      <c r="A470" s="7"/>
      <c r="B470" s="7"/>
    </row>
    <row r="471" spans="1:2">
      <c r="A471" s="7"/>
      <c r="B471" s="7"/>
    </row>
    <row r="472" spans="1:2">
      <c r="A472" s="7"/>
      <c r="B472" s="7"/>
    </row>
    <row r="473" spans="1:2">
      <c r="A473" s="7"/>
      <c r="B473" s="7"/>
    </row>
    <row r="474" spans="1:2">
      <c r="A474" s="7"/>
      <c r="B474" s="7"/>
    </row>
    <row r="475" spans="1:2">
      <c r="A475" s="7"/>
      <c r="B475" s="7"/>
    </row>
    <row r="476" spans="1:2">
      <c r="A476" s="7"/>
      <c r="B476" s="7"/>
    </row>
    <row r="477" spans="1:2">
      <c r="A477" s="7"/>
      <c r="B477" s="7"/>
    </row>
    <row r="478" spans="1:2">
      <c r="A478" s="7"/>
      <c r="B478" s="7"/>
    </row>
    <row r="479" spans="1:2">
      <c r="A479" s="7"/>
      <c r="B479" s="7"/>
    </row>
    <row r="480" spans="1:2">
      <c r="A480" s="7"/>
      <c r="B480" s="7"/>
    </row>
    <row r="481" spans="1:2">
      <c r="A481" s="7"/>
      <c r="B481" s="7"/>
    </row>
    <row r="482" spans="1:2">
      <c r="A482" s="7"/>
      <c r="B482" s="7"/>
    </row>
    <row r="483" spans="1:2">
      <c r="A483" s="7"/>
      <c r="B483" s="7"/>
    </row>
    <row r="484" spans="1:2">
      <c r="A484" s="7"/>
      <c r="B484" s="7"/>
    </row>
    <row r="485" spans="1:2">
      <c r="A485" s="7"/>
      <c r="B485" s="7"/>
    </row>
    <row r="486" spans="1:2">
      <c r="A486" s="7"/>
      <c r="B486" s="7"/>
    </row>
    <row r="487" spans="1:2">
      <c r="A487" s="7"/>
      <c r="B487" s="7"/>
    </row>
    <row r="488" spans="1:2">
      <c r="A488" s="7"/>
      <c r="B488" s="7"/>
    </row>
    <row r="489" spans="1:2">
      <c r="A489" s="7"/>
      <c r="B489" s="7"/>
    </row>
    <row r="490" spans="1:2">
      <c r="A490" s="7"/>
      <c r="B490" s="7"/>
    </row>
    <row r="491" spans="1:2">
      <c r="A491" s="7"/>
      <c r="B491" s="7"/>
    </row>
    <row r="492" spans="1:2">
      <c r="A492" s="7"/>
      <c r="B492" s="7"/>
    </row>
    <row r="493" spans="1:2">
      <c r="A493" s="7"/>
      <c r="B493" s="7"/>
    </row>
    <row r="494" spans="1:2">
      <c r="A494" s="7"/>
      <c r="B494" s="7"/>
    </row>
    <row r="495" spans="1:2">
      <c r="A495" s="7"/>
      <c r="B495" s="7"/>
    </row>
    <row r="496" spans="1:2">
      <c r="A496" s="7"/>
      <c r="B496" s="7"/>
    </row>
    <row r="497" spans="1:2">
      <c r="A497" s="7"/>
      <c r="B497" s="7"/>
    </row>
    <row r="498" spans="1:2">
      <c r="A498" s="7"/>
      <c r="B498" s="7"/>
    </row>
    <row r="499" spans="1:2">
      <c r="A499" s="7"/>
      <c r="B499" s="7"/>
    </row>
    <row r="500" spans="1:2">
      <c r="A500" s="7"/>
      <c r="B500" s="7"/>
    </row>
    <row r="501" spans="1:2">
      <c r="A501" s="7"/>
      <c r="B501" s="7"/>
    </row>
    <row r="502" spans="1:2">
      <c r="A502" s="7"/>
      <c r="B502" s="7"/>
    </row>
    <row r="503" spans="1:2">
      <c r="A503" s="7"/>
      <c r="B503" s="7"/>
    </row>
    <row r="504" spans="1:2">
      <c r="A504" s="7"/>
      <c r="B504" s="7"/>
    </row>
    <row r="505" spans="1:2">
      <c r="A505" s="7"/>
      <c r="B505" s="7"/>
    </row>
    <row r="506" spans="1:2">
      <c r="A506" s="7"/>
      <c r="B506" s="7"/>
    </row>
    <row r="507" spans="1:2">
      <c r="A507" s="7"/>
      <c r="B507" s="7"/>
    </row>
    <row r="508" spans="1:2">
      <c r="A508" s="7"/>
      <c r="B508" s="7"/>
    </row>
    <row r="509" spans="1:2">
      <c r="A509" s="7"/>
      <c r="B509" s="7"/>
    </row>
    <row r="510" spans="1:2">
      <c r="A510" s="7"/>
      <c r="B510" s="7"/>
    </row>
    <row r="511" spans="1:2">
      <c r="A511" s="7"/>
      <c r="B511" s="7"/>
    </row>
    <row r="512" spans="1:2">
      <c r="A512" s="7"/>
      <c r="B512" s="7"/>
    </row>
    <row r="513" spans="1:2">
      <c r="A513" s="7"/>
      <c r="B513" s="7"/>
    </row>
    <row r="514" spans="1:2">
      <c r="A514" s="7"/>
      <c r="B514" s="7"/>
    </row>
    <row r="515" spans="1:2">
      <c r="A515" s="7"/>
      <c r="B515" s="7"/>
    </row>
    <row r="516" spans="1:2">
      <c r="A516" s="7"/>
      <c r="B516" s="7"/>
    </row>
    <row r="517" spans="1:2">
      <c r="A517" s="7"/>
      <c r="B517" s="7"/>
    </row>
    <row r="518" spans="1:2">
      <c r="A518" s="7"/>
      <c r="B518" s="7"/>
    </row>
    <row r="519" spans="1:2">
      <c r="A519" s="7"/>
      <c r="B519" s="7"/>
    </row>
    <row r="520" spans="1:2">
      <c r="A520" s="7"/>
      <c r="B520" s="7"/>
    </row>
    <row r="521" spans="1:2">
      <c r="A521" s="7"/>
      <c r="B521" s="7"/>
    </row>
    <row r="522" spans="1:2">
      <c r="A522" s="7"/>
      <c r="B522" s="7"/>
    </row>
    <row r="523" spans="1:2">
      <c r="A523" s="7"/>
      <c r="B523" s="7"/>
    </row>
    <row r="524" spans="1:2">
      <c r="A524" s="7"/>
      <c r="B524" s="7"/>
    </row>
    <row r="525" spans="1:2">
      <c r="A525" s="7"/>
      <c r="B525" s="7"/>
    </row>
    <row r="526" spans="1:2">
      <c r="A526" s="7"/>
      <c r="B526" s="7"/>
    </row>
    <row r="527" spans="1:2">
      <c r="A527" s="7"/>
      <c r="B527" s="7"/>
    </row>
    <row r="528" spans="1:2">
      <c r="A528" s="7"/>
      <c r="B528" s="7"/>
    </row>
    <row r="529" spans="1:2">
      <c r="A529" s="7"/>
      <c r="B529" s="7"/>
    </row>
    <row r="530" spans="1:2">
      <c r="A530" s="7"/>
      <c r="B530" s="7"/>
    </row>
    <row r="531" spans="1:2">
      <c r="A531" s="7"/>
      <c r="B531" s="7"/>
    </row>
    <row r="532" spans="1:2">
      <c r="A532" s="7"/>
      <c r="B532" s="7"/>
    </row>
    <row r="533" spans="1:2">
      <c r="A533" s="7"/>
      <c r="B533" s="7"/>
    </row>
    <row r="534" spans="1:2">
      <c r="A534" s="7"/>
      <c r="B534" s="7"/>
    </row>
    <row r="535" spans="1:2">
      <c r="A535" s="7"/>
      <c r="B535" s="7"/>
    </row>
    <row r="536" spans="1:2">
      <c r="A536" s="7"/>
      <c r="B536" s="7"/>
    </row>
    <row r="537" spans="1:2">
      <c r="A537" s="7"/>
      <c r="B537" s="7"/>
    </row>
    <row r="538" spans="1:2">
      <c r="A538" s="7"/>
      <c r="B538" s="7"/>
    </row>
    <row r="539" spans="1:2">
      <c r="A539" s="7"/>
      <c r="B539" s="7"/>
    </row>
    <row r="540" spans="1:2">
      <c r="A540" s="7"/>
      <c r="B540" s="7"/>
    </row>
    <row r="541" spans="1:2">
      <c r="A541" s="7"/>
      <c r="B541" s="7"/>
    </row>
    <row r="542" spans="1:2">
      <c r="A542" s="7"/>
      <c r="B542" s="7"/>
    </row>
    <row r="543" spans="1:2">
      <c r="A543" s="7"/>
      <c r="B543" s="7"/>
    </row>
    <row r="544" spans="1:2">
      <c r="A544" s="7"/>
      <c r="B544" s="7"/>
    </row>
    <row r="545" spans="1:2">
      <c r="A545" s="7"/>
      <c r="B545" s="7"/>
    </row>
    <row r="546" spans="1:2">
      <c r="A546" s="7"/>
      <c r="B546" s="7"/>
    </row>
    <row r="547" spans="1:2">
      <c r="A547" s="7"/>
      <c r="B547" s="7"/>
    </row>
    <row r="548" spans="1:2">
      <c r="A548" s="7"/>
      <c r="B548" s="7"/>
    </row>
    <row r="549" spans="1:2">
      <c r="A549" s="7"/>
      <c r="B549" s="7"/>
    </row>
    <row r="550" spans="1:2">
      <c r="A550" s="7"/>
      <c r="B550" s="7"/>
    </row>
    <row r="551" spans="1:2">
      <c r="A551" s="7"/>
      <c r="B551" s="7"/>
    </row>
    <row r="552" spans="1:2">
      <c r="A552" s="7"/>
      <c r="B552" s="7"/>
    </row>
    <row r="553" spans="1:2">
      <c r="A553" s="7"/>
      <c r="B553" s="7"/>
    </row>
    <row r="554" spans="1:2">
      <c r="A554" s="7"/>
      <c r="B554" s="7"/>
    </row>
    <row r="555" spans="1:2">
      <c r="A555" s="7"/>
      <c r="B555" s="7"/>
    </row>
    <row r="556" spans="1:2">
      <c r="A556" s="7"/>
      <c r="B556" s="7"/>
    </row>
    <row r="557" spans="1:2">
      <c r="A557" s="7"/>
      <c r="B557" s="7"/>
    </row>
    <row r="558" spans="1:2">
      <c r="A558" s="7"/>
      <c r="B558" s="7"/>
    </row>
    <row r="559" spans="1:2">
      <c r="A559" s="7"/>
      <c r="B559" s="7"/>
    </row>
    <row r="560" spans="1:2">
      <c r="A560" s="7"/>
      <c r="B560" s="7"/>
    </row>
    <row r="561" spans="1:2">
      <c r="A561" s="7"/>
      <c r="B561" s="7"/>
    </row>
    <row r="562" spans="1:2">
      <c r="A562" s="7"/>
      <c r="B562" s="7"/>
    </row>
    <row r="563" spans="1:2">
      <c r="A563" s="7"/>
      <c r="B563" s="7"/>
    </row>
    <row r="564" spans="1:2">
      <c r="A564" s="7"/>
      <c r="B564" s="7"/>
    </row>
    <row r="565" spans="1:2">
      <c r="A565" s="7"/>
      <c r="B565" s="7"/>
    </row>
    <row r="566" spans="1:2">
      <c r="A566" s="7"/>
      <c r="B566" s="7"/>
    </row>
    <row r="567" spans="1:2">
      <c r="A567" s="7"/>
      <c r="B567" s="7"/>
    </row>
    <row r="568" spans="1:2">
      <c r="A568" s="7"/>
      <c r="B568" s="7"/>
    </row>
    <row r="569" spans="1:2">
      <c r="A569" s="7"/>
      <c r="B569" s="7"/>
    </row>
    <row r="570" spans="1:2">
      <c r="A570" s="7"/>
      <c r="B570" s="7"/>
    </row>
    <row r="571" spans="1:2">
      <c r="A571" s="7"/>
      <c r="B571" s="7"/>
    </row>
    <row r="572" spans="1:2">
      <c r="A572" s="7"/>
      <c r="B572" s="7"/>
    </row>
    <row r="573" spans="1:2">
      <c r="A573" s="7"/>
      <c r="B573" s="7"/>
    </row>
    <row r="574" spans="1:2">
      <c r="A574" s="7"/>
      <c r="B574" s="7"/>
    </row>
    <row r="575" spans="1:2">
      <c r="A575" s="7"/>
      <c r="B575" s="7"/>
    </row>
    <row r="576" spans="1:2">
      <c r="A576" s="7"/>
      <c r="B576" s="7"/>
    </row>
    <row r="577" spans="1:2">
      <c r="A577" s="7"/>
      <c r="B577" s="7"/>
    </row>
    <row r="578" spans="1:2">
      <c r="A578" s="7"/>
      <c r="B578" s="7"/>
    </row>
    <row r="579" spans="1:2">
      <c r="A579" s="7"/>
      <c r="B579" s="7"/>
    </row>
    <row r="580" spans="1:2">
      <c r="A580" s="7"/>
      <c r="B580" s="7"/>
    </row>
    <row r="581" spans="1:2">
      <c r="A581" s="7"/>
      <c r="B581" s="7"/>
    </row>
    <row r="582" spans="1:2">
      <c r="A582" s="7"/>
      <c r="B582" s="7"/>
    </row>
    <row r="583" spans="1:2">
      <c r="A583" s="7"/>
      <c r="B583" s="7"/>
    </row>
    <row r="584" spans="1:2">
      <c r="A584" s="7"/>
      <c r="B584" s="7"/>
    </row>
    <row r="585" spans="1:2">
      <c r="A585" s="7"/>
      <c r="B585" s="7"/>
    </row>
    <row r="586" spans="1:2">
      <c r="A586" s="7"/>
      <c r="B586" s="7"/>
    </row>
    <row r="587" spans="1:2">
      <c r="A587" s="7"/>
      <c r="B587" s="7"/>
    </row>
    <row r="588" spans="1:2">
      <c r="A588" s="7"/>
      <c r="B588" s="7"/>
    </row>
    <row r="589" spans="1:2">
      <c r="A589" s="7"/>
      <c r="B589" s="7"/>
    </row>
    <row r="590" spans="1:2">
      <c r="A590" s="7"/>
      <c r="B590" s="7"/>
    </row>
    <row r="591" spans="1:2">
      <c r="A591" s="7"/>
      <c r="B591" s="7"/>
    </row>
    <row r="592" spans="1:2">
      <c r="A592" s="7"/>
      <c r="B592" s="7"/>
    </row>
    <row r="593" spans="1:2">
      <c r="A593" s="7"/>
      <c r="B593" s="7"/>
    </row>
    <row r="594" spans="1:2">
      <c r="A594" s="7"/>
      <c r="B594" s="7"/>
    </row>
    <row r="595" spans="1:2">
      <c r="A595" s="7"/>
      <c r="B595" s="7"/>
    </row>
    <row r="596" spans="1:2">
      <c r="A596" s="7"/>
      <c r="B596" s="7"/>
    </row>
    <row r="597" spans="1:2">
      <c r="A597" s="7"/>
      <c r="B597" s="7"/>
    </row>
    <row r="598" spans="1:2">
      <c r="A598" s="7"/>
      <c r="B598" s="7"/>
    </row>
    <row r="599" spans="1:2">
      <c r="A599" s="7"/>
      <c r="B599" s="7"/>
    </row>
    <row r="600" spans="1:2">
      <c r="A600" s="7"/>
      <c r="B600" s="7"/>
    </row>
    <row r="601" spans="1:2">
      <c r="A601" s="7"/>
      <c r="B601" s="7"/>
    </row>
    <row r="602" spans="1:2">
      <c r="A602" s="7"/>
      <c r="B602" s="7"/>
    </row>
    <row r="603" spans="1:2">
      <c r="A603" s="7"/>
      <c r="B603" s="7"/>
    </row>
    <row r="604" spans="1:2">
      <c r="A604" s="7"/>
      <c r="B604" s="7"/>
    </row>
    <row r="605" spans="1:2">
      <c r="A605" s="7"/>
      <c r="B605" s="7"/>
    </row>
    <row r="606" spans="1:2">
      <c r="A606" s="7"/>
      <c r="B606" s="7"/>
    </row>
    <row r="607" spans="1:2">
      <c r="A607" s="7"/>
      <c r="B607" s="7"/>
    </row>
    <row r="608" spans="1:2">
      <c r="A608" s="7"/>
      <c r="B608" s="7"/>
    </row>
    <row r="609" spans="1:2">
      <c r="A609" s="7"/>
      <c r="B609" s="7"/>
    </row>
    <row r="610" spans="1:2">
      <c r="A610" s="7"/>
      <c r="B610" s="7"/>
    </row>
    <row r="611" spans="1:2">
      <c r="A611" s="7"/>
      <c r="B611" s="7"/>
    </row>
    <row r="612" spans="1:2">
      <c r="A612" s="7"/>
      <c r="B612" s="7"/>
    </row>
    <row r="613" spans="1:2">
      <c r="A613" s="7"/>
      <c r="B613" s="7"/>
    </row>
    <row r="614" spans="1:2">
      <c r="A614" s="7"/>
      <c r="B614" s="7"/>
    </row>
    <row r="615" spans="1:2">
      <c r="A615" s="7"/>
      <c r="B615" s="7"/>
    </row>
    <row r="616" spans="1:2">
      <c r="A616" s="7"/>
      <c r="B616" s="7"/>
    </row>
    <row r="617" spans="1:2">
      <c r="A617" s="7"/>
      <c r="B617" s="7"/>
    </row>
    <row r="618" spans="1:2">
      <c r="A618" s="7"/>
      <c r="B618" s="7"/>
    </row>
    <row r="619" spans="1:2">
      <c r="A619" s="7"/>
      <c r="B619" s="7"/>
    </row>
    <row r="620" spans="1:2">
      <c r="A620" s="7"/>
      <c r="B620" s="7"/>
    </row>
    <row r="621" spans="1:2">
      <c r="A621" s="7"/>
      <c r="B621" s="7"/>
    </row>
    <row r="622" spans="1:2">
      <c r="A622" s="7"/>
      <c r="B622" s="7"/>
    </row>
    <row r="623" spans="1:2">
      <c r="A623" s="7"/>
      <c r="B623" s="7"/>
    </row>
    <row r="624" spans="1:2">
      <c r="A624" s="7"/>
      <c r="B624" s="7"/>
    </row>
    <row r="625" spans="1:2">
      <c r="A625" s="7"/>
      <c r="B625" s="7"/>
    </row>
    <row r="626" spans="1:2">
      <c r="A626" s="7"/>
      <c r="B626" s="7"/>
    </row>
    <row r="627" spans="1:2">
      <c r="A627" s="7"/>
      <c r="B627" s="7"/>
    </row>
    <row r="628" spans="1:2">
      <c r="A628" s="7"/>
      <c r="B628" s="7"/>
    </row>
    <row r="629" spans="1:2">
      <c r="A629" s="7"/>
      <c r="B629" s="7"/>
    </row>
    <row r="630" spans="1:2">
      <c r="A630" s="7"/>
      <c r="B630" s="7"/>
    </row>
    <row r="631" spans="1:2">
      <c r="A631" s="7"/>
      <c r="B631" s="7"/>
    </row>
    <row r="632" spans="1:2">
      <c r="A632" s="7"/>
      <c r="B632" s="7"/>
    </row>
    <row r="633" spans="1:2">
      <c r="A633" s="7"/>
      <c r="B633" s="7"/>
    </row>
    <row r="634" spans="1:2">
      <c r="A634" s="7"/>
      <c r="B634" s="7"/>
    </row>
    <row r="635" spans="1:2">
      <c r="A635" s="7"/>
      <c r="B635" s="7"/>
    </row>
    <row r="636" spans="1:2">
      <c r="A636" s="7"/>
      <c r="B636" s="7"/>
    </row>
    <row r="637" spans="1:2">
      <c r="A637" s="7"/>
      <c r="B637" s="7"/>
    </row>
    <row r="638" spans="1:2">
      <c r="A638" s="7"/>
      <c r="B638" s="7"/>
    </row>
    <row r="639" spans="1:2">
      <c r="A639" s="7"/>
      <c r="B639" s="7"/>
    </row>
    <row r="640" spans="1:2">
      <c r="A640" s="7"/>
      <c r="B640" s="7"/>
    </row>
    <row r="641" spans="1:2">
      <c r="A641" s="7"/>
      <c r="B641" s="7"/>
    </row>
    <row r="642" spans="1:2">
      <c r="A642" s="7"/>
      <c r="B642" s="7"/>
    </row>
    <row r="643" spans="1:2">
      <c r="A643" s="7"/>
      <c r="B643" s="7"/>
    </row>
    <row r="644" spans="1:2">
      <c r="A644" s="7"/>
      <c r="B644" s="7"/>
    </row>
    <row r="645" spans="1:2">
      <c r="A645" s="7"/>
      <c r="B645" s="7"/>
    </row>
    <row r="646" spans="1:2">
      <c r="A646" s="7"/>
      <c r="B646" s="7"/>
    </row>
    <row r="647" spans="1:2">
      <c r="A647" s="7"/>
      <c r="B647" s="7"/>
    </row>
    <row r="648" spans="1:2">
      <c r="A648" s="7"/>
      <c r="B648" s="7"/>
    </row>
    <row r="649" spans="1:2">
      <c r="A649" s="7"/>
      <c r="B649" s="7"/>
    </row>
    <row r="650" spans="1:2">
      <c r="A650" s="7"/>
      <c r="B650" s="7"/>
    </row>
    <row r="651" spans="1:2">
      <c r="A651" s="7"/>
      <c r="B651" s="7"/>
    </row>
    <row r="652" spans="1:2">
      <c r="A652" s="7"/>
      <c r="B652" s="7"/>
    </row>
    <row r="653" spans="1:2">
      <c r="A653" s="7"/>
      <c r="B653" s="7"/>
    </row>
    <row r="654" spans="1:2">
      <c r="A654" s="7"/>
      <c r="B654" s="7"/>
    </row>
    <row r="655" spans="1:2">
      <c r="A655" s="7"/>
      <c r="B655" s="7"/>
    </row>
    <row r="656" spans="1:2">
      <c r="A656" s="7"/>
      <c r="B656" s="7"/>
    </row>
    <row r="657" spans="1:2">
      <c r="A657" s="7"/>
      <c r="B657" s="7"/>
    </row>
    <row r="658" spans="1:2">
      <c r="A658" s="7"/>
      <c r="B658" s="7"/>
    </row>
    <row r="659" spans="1:2">
      <c r="A659" s="7"/>
      <c r="B659" s="7"/>
    </row>
    <row r="660" spans="1:2">
      <c r="A660" s="7"/>
      <c r="B660" s="7"/>
    </row>
    <row r="661" spans="1:2">
      <c r="A661" s="7"/>
      <c r="B661" s="7"/>
    </row>
    <row r="662" spans="1:2">
      <c r="A662" s="7"/>
      <c r="B662" s="7"/>
    </row>
    <row r="663" spans="1:2">
      <c r="A663" s="7"/>
      <c r="B663" s="7"/>
    </row>
    <row r="664" spans="1:2">
      <c r="A664" s="7"/>
      <c r="B664" s="7"/>
    </row>
    <row r="665" spans="1:2">
      <c r="A665" s="7"/>
      <c r="B665" s="7"/>
    </row>
    <row r="666" spans="1:2">
      <c r="A666" s="7"/>
      <c r="B666" s="7"/>
    </row>
    <row r="667" spans="1:2">
      <c r="A667" s="7"/>
      <c r="B667" s="7"/>
    </row>
    <row r="668" spans="1:2">
      <c r="A668" s="7"/>
      <c r="B668" s="7"/>
    </row>
    <row r="669" spans="1:2">
      <c r="A669" s="7"/>
      <c r="B669" s="7"/>
    </row>
    <row r="670" spans="1:2">
      <c r="A670" s="7"/>
      <c r="B670" s="7"/>
    </row>
    <row r="671" spans="1:2">
      <c r="A671" s="7"/>
      <c r="B671" s="7"/>
    </row>
    <row r="672" spans="1:2">
      <c r="A672" s="7"/>
      <c r="B672" s="7"/>
    </row>
    <row r="673" spans="1:2">
      <c r="A673" s="7"/>
      <c r="B673" s="7"/>
    </row>
    <row r="674" spans="1:2">
      <c r="A674" s="7"/>
      <c r="B674" s="7"/>
    </row>
    <row r="675" spans="1:2">
      <c r="A675" s="7"/>
      <c r="B675" s="7"/>
    </row>
    <row r="676" spans="1:2">
      <c r="A676" s="7"/>
      <c r="B676" s="7"/>
    </row>
    <row r="677" spans="1:2">
      <c r="A677" s="7"/>
      <c r="B677" s="7"/>
    </row>
    <row r="678" spans="1:2">
      <c r="A678" s="7"/>
      <c r="B678" s="7"/>
    </row>
    <row r="679" spans="1:2">
      <c r="A679" s="7"/>
      <c r="B679" s="7"/>
    </row>
    <row r="680" spans="1:2">
      <c r="A680" s="7"/>
      <c r="B680" s="7"/>
    </row>
    <row r="681" spans="1:2">
      <c r="A681" s="7"/>
      <c r="B681" s="7"/>
    </row>
    <row r="682" spans="1:2">
      <c r="A682" s="7"/>
      <c r="B682" s="7"/>
    </row>
    <row r="683" spans="1:2">
      <c r="A683" s="7"/>
      <c r="B683" s="7"/>
    </row>
    <row r="684" spans="1:2">
      <c r="A684" s="7"/>
      <c r="B684" s="7"/>
    </row>
    <row r="685" spans="1:2">
      <c r="A685" s="7"/>
      <c r="B685" s="7"/>
    </row>
    <row r="686" spans="1:2">
      <c r="A686" s="7"/>
      <c r="B686" s="7"/>
    </row>
    <row r="687" spans="1:2">
      <c r="A687" s="7"/>
      <c r="B687" s="7"/>
    </row>
    <row r="688" spans="1:2">
      <c r="A688" s="7"/>
      <c r="B688" s="7"/>
    </row>
    <row r="689" spans="1:2">
      <c r="A689" s="7"/>
      <c r="B689" s="7"/>
    </row>
    <row r="690" spans="1:2">
      <c r="A690" s="7"/>
      <c r="B690" s="7"/>
    </row>
    <row r="691" spans="1:2">
      <c r="A691" s="7"/>
      <c r="B691" s="7"/>
    </row>
    <row r="692" spans="1:2">
      <c r="A692" s="7"/>
      <c r="B692" s="7"/>
    </row>
    <row r="693" spans="1:2">
      <c r="A693" s="7"/>
      <c r="B693" s="7"/>
    </row>
    <row r="694" spans="1:2">
      <c r="A694" s="7"/>
      <c r="B694" s="7"/>
    </row>
    <row r="695" spans="1:2">
      <c r="A695" s="7"/>
      <c r="B695" s="7"/>
    </row>
    <row r="696" spans="1:2">
      <c r="A696" s="7"/>
      <c r="B696" s="7"/>
    </row>
    <row r="697" spans="1:2">
      <c r="A697" s="7"/>
      <c r="B697" s="7"/>
    </row>
    <row r="698" spans="1:2">
      <c r="A698" s="7"/>
      <c r="B698" s="7"/>
    </row>
    <row r="699" spans="1:2">
      <c r="A699" s="7"/>
      <c r="B699" s="7"/>
    </row>
    <row r="700" spans="1:2">
      <c r="A700" s="7"/>
      <c r="B700" s="7"/>
    </row>
    <row r="701" spans="1:2">
      <c r="A701" s="7"/>
      <c r="B701" s="7"/>
    </row>
    <row r="702" spans="1:2">
      <c r="A702" s="7"/>
      <c r="B702" s="7"/>
    </row>
    <row r="703" spans="1:2">
      <c r="A703" s="7"/>
      <c r="B703" s="7"/>
    </row>
    <row r="704" spans="1:2">
      <c r="A704" s="7"/>
      <c r="B704" s="7"/>
    </row>
    <row r="705" spans="1:2">
      <c r="A705" s="7"/>
      <c r="B705" s="7"/>
    </row>
    <row r="706" spans="1:2">
      <c r="A706" s="7"/>
      <c r="B706" s="7"/>
    </row>
    <row r="707" spans="1:2">
      <c r="A707" s="7"/>
      <c r="B707" s="7"/>
    </row>
    <row r="708" spans="1:2">
      <c r="A708" s="7"/>
      <c r="B708" s="7"/>
    </row>
    <row r="709" spans="1:2">
      <c r="A709" s="7"/>
      <c r="B709" s="7"/>
    </row>
    <row r="710" spans="1:2">
      <c r="A710" s="7"/>
      <c r="B710" s="7"/>
    </row>
    <row r="711" spans="1:2">
      <c r="A711" s="7"/>
      <c r="B711" s="7"/>
    </row>
    <row r="712" spans="1:2">
      <c r="A712" s="7"/>
      <c r="B712" s="7"/>
    </row>
    <row r="713" spans="1:2">
      <c r="A713" s="7"/>
      <c r="B713" s="7"/>
    </row>
    <row r="714" spans="1:2">
      <c r="A714" s="7"/>
      <c r="B714" s="7"/>
    </row>
    <row r="715" spans="1:2">
      <c r="A715" s="7"/>
      <c r="B715" s="7"/>
    </row>
    <row r="716" spans="1:2">
      <c r="A716" s="7"/>
      <c r="B716" s="7"/>
    </row>
    <row r="717" spans="1:2">
      <c r="A717" s="7"/>
      <c r="B717" s="7"/>
    </row>
    <row r="718" spans="1:2">
      <c r="A718" s="7"/>
      <c r="B718" s="7"/>
    </row>
    <row r="719" spans="1:2">
      <c r="A719" s="7"/>
      <c r="B719" s="7"/>
    </row>
    <row r="720" spans="1:2">
      <c r="A720" s="7"/>
      <c r="B720" s="7"/>
    </row>
    <row r="721" spans="1:2">
      <c r="A721" s="7"/>
      <c r="B721" s="7"/>
    </row>
    <row r="722" spans="1:2">
      <c r="A722" s="7"/>
      <c r="B722" s="7"/>
    </row>
    <row r="723" spans="1:2">
      <c r="A723" s="7"/>
      <c r="B723" s="7"/>
    </row>
    <row r="724" spans="1:2">
      <c r="A724" s="7"/>
      <c r="B724" s="7"/>
    </row>
    <row r="725" spans="1:2">
      <c r="A725" s="7"/>
      <c r="B725" s="7"/>
    </row>
    <row r="726" spans="1:2">
      <c r="A726" s="7"/>
      <c r="B726" s="7"/>
    </row>
    <row r="727" spans="1:2">
      <c r="A727" s="7"/>
      <c r="B727" s="7"/>
    </row>
    <row r="728" spans="1:2">
      <c r="A728" s="7"/>
      <c r="B728" s="7"/>
    </row>
    <row r="729" spans="1:2">
      <c r="A729" s="7"/>
      <c r="B729" s="7"/>
    </row>
    <row r="730" spans="1:2">
      <c r="A730" s="7"/>
      <c r="B730" s="7"/>
    </row>
    <row r="731" spans="1:2">
      <c r="A731" s="7"/>
      <c r="B731" s="7"/>
    </row>
    <row r="732" spans="1:2">
      <c r="A732" s="7"/>
      <c r="B732" s="7"/>
    </row>
    <row r="733" spans="1:2">
      <c r="A733" s="7"/>
      <c r="B733" s="7"/>
    </row>
    <row r="734" spans="1:2">
      <c r="A734" s="7"/>
      <c r="B734" s="7"/>
    </row>
    <row r="735" spans="1:2">
      <c r="A735" s="7"/>
      <c r="B735" s="7"/>
    </row>
    <row r="736" spans="1:2">
      <c r="A736" s="7"/>
      <c r="B736" s="7"/>
    </row>
    <row r="737" spans="1:2">
      <c r="A737" s="7"/>
      <c r="B737" s="7"/>
    </row>
    <row r="738" spans="1:2">
      <c r="A738" s="7"/>
      <c r="B738" s="7"/>
    </row>
    <row r="739" spans="1:2">
      <c r="A739" s="7"/>
      <c r="B739" s="7"/>
    </row>
    <row r="740" spans="1:2">
      <c r="A740" s="7"/>
      <c r="B740" s="7"/>
    </row>
    <row r="741" spans="1:2">
      <c r="A741" s="7"/>
      <c r="B741" s="7"/>
    </row>
    <row r="742" spans="1:2">
      <c r="A742" s="7"/>
      <c r="B742" s="7"/>
    </row>
    <row r="743" spans="1:2">
      <c r="A743" s="7"/>
      <c r="B743" s="7"/>
    </row>
    <row r="744" spans="1:2">
      <c r="A744" s="7"/>
      <c r="B744" s="7"/>
    </row>
    <row r="745" spans="1:2">
      <c r="A745" s="7"/>
      <c r="B745" s="7"/>
    </row>
    <row r="746" spans="1:2">
      <c r="A746" s="7"/>
      <c r="B746" s="7"/>
    </row>
    <row r="747" spans="1:2">
      <c r="A747" s="7"/>
      <c r="B747" s="7"/>
    </row>
    <row r="748" spans="1:2">
      <c r="A748" s="7"/>
      <c r="B748" s="7"/>
    </row>
    <row r="749" spans="1:2">
      <c r="A749" s="7"/>
      <c r="B749" s="7"/>
    </row>
    <row r="750" spans="1:2">
      <c r="A750" s="7"/>
      <c r="B750" s="7"/>
    </row>
    <row r="751" spans="1:2">
      <c r="A751" s="7"/>
      <c r="B751" s="7"/>
    </row>
    <row r="752" spans="1:2">
      <c r="A752" s="7"/>
      <c r="B752" s="7"/>
    </row>
    <row r="753" spans="1:2">
      <c r="A753" s="7"/>
      <c r="B753" s="7"/>
    </row>
    <row r="754" spans="1:2">
      <c r="A754" s="7"/>
      <c r="B754" s="7"/>
    </row>
    <row r="755" spans="1:2">
      <c r="A755" s="7"/>
      <c r="B755" s="7"/>
    </row>
    <row r="756" spans="1:2">
      <c r="A756" s="7"/>
      <c r="B756" s="7"/>
    </row>
    <row r="757" spans="1:2">
      <c r="A757" s="7"/>
      <c r="B757" s="7"/>
    </row>
    <row r="758" spans="1:2">
      <c r="A758" s="7"/>
      <c r="B758" s="7"/>
    </row>
    <row r="759" spans="1:2">
      <c r="A759" s="7"/>
      <c r="B759" s="7"/>
    </row>
    <row r="760" spans="1:2">
      <c r="A760" s="7"/>
      <c r="B760" s="7"/>
    </row>
    <row r="761" spans="1:2">
      <c r="A761" s="7"/>
      <c r="B761" s="7"/>
    </row>
    <row r="762" spans="1:2">
      <c r="A762" s="7"/>
      <c r="B762" s="7"/>
    </row>
    <row r="763" spans="1:2">
      <c r="A763" s="7"/>
      <c r="B763" s="7"/>
    </row>
    <row r="764" spans="1:2">
      <c r="A764" s="7"/>
      <c r="B764" s="7"/>
    </row>
    <row r="765" spans="1:2">
      <c r="A765" s="7"/>
      <c r="B765" s="7"/>
    </row>
    <row r="766" spans="1:2">
      <c r="A766" s="7"/>
      <c r="B766" s="7"/>
    </row>
    <row r="767" spans="1:2">
      <c r="A767" s="7"/>
      <c r="B767" s="7"/>
    </row>
    <row r="768" spans="1:2">
      <c r="A768" s="7"/>
      <c r="B768" s="7"/>
    </row>
    <row r="769" spans="1:2">
      <c r="A769" s="7"/>
      <c r="B769" s="7"/>
    </row>
    <row r="770" spans="1:2">
      <c r="A770" s="7"/>
      <c r="B770" s="7"/>
    </row>
    <row r="771" spans="1:2">
      <c r="A771" s="7"/>
      <c r="B771" s="7"/>
    </row>
    <row r="772" spans="1:2">
      <c r="A772" s="7"/>
      <c r="B772" s="7"/>
    </row>
    <row r="773" spans="1:2">
      <c r="A773" s="7"/>
      <c r="B773" s="7"/>
    </row>
    <row r="774" spans="1:2">
      <c r="A774" s="7"/>
      <c r="B774" s="7"/>
    </row>
    <row r="775" spans="1:2">
      <c r="A775" s="7"/>
      <c r="B775" s="7"/>
    </row>
    <row r="776" spans="1:2">
      <c r="A776" s="7"/>
      <c r="B776" s="7"/>
    </row>
    <row r="777" spans="1:2">
      <c r="A777" s="7"/>
      <c r="B777" s="7"/>
    </row>
    <row r="778" spans="1:2">
      <c r="A778" s="7"/>
      <c r="B778" s="7"/>
    </row>
    <row r="779" spans="1:2">
      <c r="A779" s="7"/>
      <c r="B779" s="7"/>
    </row>
    <row r="780" spans="1:2">
      <c r="A780" s="7"/>
      <c r="B780" s="7"/>
    </row>
    <row r="781" spans="1:2">
      <c r="A781" s="7"/>
      <c r="B781" s="7"/>
    </row>
    <row r="782" spans="1:2">
      <c r="A782" s="7"/>
      <c r="B782" s="7"/>
    </row>
    <row r="783" spans="1:2">
      <c r="A783" s="7"/>
      <c r="B783" s="7"/>
    </row>
    <row r="784" spans="1:2">
      <c r="A784" s="7"/>
      <c r="B784" s="7"/>
    </row>
    <row r="785" spans="1:2">
      <c r="A785" s="7"/>
      <c r="B785" s="7"/>
    </row>
    <row r="786" spans="1:2">
      <c r="A786" s="7"/>
      <c r="B786" s="7"/>
    </row>
    <row r="787" spans="1:2">
      <c r="A787" s="7"/>
      <c r="B787" s="7"/>
    </row>
    <row r="788" spans="1:2">
      <c r="A788" s="7"/>
      <c r="B788" s="7"/>
    </row>
    <row r="789" spans="1:2">
      <c r="A789" s="7"/>
      <c r="B789" s="7"/>
    </row>
    <row r="790" spans="1:2">
      <c r="A790" s="7"/>
      <c r="B790" s="7"/>
    </row>
    <row r="791" spans="1:2">
      <c r="A791" s="7"/>
      <c r="B791" s="7"/>
    </row>
    <row r="792" spans="1:2">
      <c r="A792" s="7"/>
      <c r="B792" s="7"/>
    </row>
    <row r="793" spans="1:2">
      <c r="A793" s="7"/>
      <c r="B793" s="7"/>
    </row>
    <row r="794" spans="1:2">
      <c r="A794" s="7"/>
      <c r="B794" s="7"/>
    </row>
    <row r="795" spans="1:2">
      <c r="A795" s="7"/>
      <c r="B795" s="7"/>
    </row>
    <row r="796" spans="1:2">
      <c r="A796" s="7"/>
      <c r="B796" s="7"/>
    </row>
    <row r="797" spans="1:2">
      <c r="A797" s="7"/>
      <c r="B797" s="7"/>
    </row>
    <row r="798" spans="1:2">
      <c r="A798" s="7"/>
      <c r="B798" s="7"/>
    </row>
    <row r="799" spans="1:2">
      <c r="A799" s="7"/>
      <c r="B799" s="7"/>
    </row>
    <row r="800" spans="1:2">
      <c r="A800" s="7"/>
      <c r="B800" s="7"/>
    </row>
    <row r="801" spans="1:2">
      <c r="A801" s="7"/>
      <c r="B801" s="7"/>
    </row>
    <row r="802" spans="1:2">
      <c r="A802" s="7"/>
      <c r="B802" s="7"/>
    </row>
    <row r="803" spans="1:2">
      <c r="A803" s="7"/>
      <c r="B803" s="7"/>
    </row>
    <row r="804" spans="1:2">
      <c r="A804" s="7"/>
      <c r="B804" s="7"/>
    </row>
    <row r="805" spans="1:2">
      <c r="A805" s="7"/>
      <c r="B805" s="7"/>
    </row>
    <row r="806" spans="1:2">
      <c r="A806" s="7"/>
      <c r="B806" s="7"/>
    </row>
    <row r="807" spans="1:2">
      <c r="A807" s="7"/>
      <c r="B807" s="7"/>
    </row>
    <row r="808" spans="1:2">
      <c r="A808" s="7"/>
      <c r="B808" s="7"/>
    </row>
    <row r="809" spans="1:2">
      <c r="A809" s="7"/>
      <c r="B809" s="7"/>
    </row>
    <row r="810" spans="1:2">
      <c r="A810" s="7"/>
      <c r="B810" s="7"/>
    </row>
    <row r="811" spans="1:2">
      <c r="A811" s="7"/>
      <c r="B811" s="7"/>
    </row>
    <row r="812" spans="1:2">
      <c r="A812" s="7"/>
      <c r="B812" s="7"/>
    </row>
    <row r="813" spans="1:2">
      <c r="A813" s="7"/>
      <c r="B813" s="7"/>
    </row>
    <row r="814" spans="1:2">
      <c r="A814" s="7"/>
      <c r="B814" s="7"/>
    </row>
    <row r="815" spans="1:2">
      <c r="A815" s="7"/>
      <c r="B815" s="7"/>
    </row>
    <row r="816" spans="1:2">
      <c r="A816" s="7"/>
      <c r="B816" s="7"/>
    </row>
    <row r="817" spans="1:2">
      <c r="A817" s="7"/>
      <c r="B817" s="7"/>
    </row>
    <row r="818" spans="1:2">
      <c r="A818" s="7"/>
      <c r="B818" s="7"/>
    </row>
    <row r="819" spans="1:2">
      <c r="A819" s="7"/>
      <c r="B819" s="7"/>
    </row>
    <row r="820" spans="1:2">
      <c r="A820" s="7"/>
      <c r="B820" s="7"/>
    </row>
    <row r="821" spans="1:2">
      <c r="A821" s="7"/>
      <c r="B821" s="7"/>
    </row>
    <row r="822" spans="1:2">
      <c r="A822" s="7"/>
      <c r="B822" s="7"/>
    </row>
    <row r="823" spans="1:2">
      <c r="A823" s="7"/>
      <c r="B823" s="7"/>
    </row>
    <row r="824" spans="1:2">
      <c r="A824" s="7"/>
      <c r="B824" s="7"/>
    </row>
    <row r="825" spans="1:2">
      <c r="A825" s="7"/>
      <c r="B825" s="7"/>
    </row>
    <row r="826" spans="1:2">
      <c r="A826" s="7"/>
      <c r="B826" s="7"/>
    </row>
    <row r="827" spans="1:2">
      <c r="A827" s="7"/>
      <c r="B827" s="7"/>
    </row>
    <row r="828" spans="1:2">
      <c r="A828" s="7"/>
      <c r="B828" s="7"/>
    </row>
    <row r="829" spans="1:2">
      <c r="A829" s="7"/>
      <c r="B829" s="7"/>
    </row>
    <row r="830" spans="1:2">
      <c r="A830" s="7"/>
      <c r="B830" s="7"/>
    </row>
    <row r="831" spans="1:2">
      <c r="A831" s="7"/>
      <c r="B831" s="7"/>
    </row>
    <row r="832" spans="1:2">
      <c r="A832" s="7"/>
      <c r="B832" s="7"/>
    </row>
    <row r="833" spans="1:2">
      <c r="A833" s="7"/>
      <c r="B833" s="7"/>
    </row>
    <row r="834" spans="1:2">
      <c r="A834" s="7"/>
      <c r="B834" s="7"/>
    </row>
    <row r="835" spans="1:2">
      <c r="A835" s="7"/>
      <c r="B835" s="7"/>
    </row>
    <row r="836" spans="1:2">
      <c r="A836" s="7"/>
      <c r="B836" s="7"/>
    </row>
    <row r="837" spans="1:2">
      <c r="A837" s="7"/>
      <c r="B837" s="7"/>
    </row>
    <row r="838" spans="1:2">
      <c r="A838" s="7"/>
      <c r="B838" s="7"/>
    </row>
    <row r="839" spans="1:2">
      <c r="A839" s="7"/>
      <c r="B839" s="7"/>
    </row>
    <row r="840" spans="1:2">
      <c r="A840" s="7"/>
      <c r="B840" s="7"/>
    </row>
    <row r="841" spans="1:2">
      <c r="A841" s="7"/>
      <c r="B841" s="7"/>
    </row>
    <row r="842" spans="1:2">
      <c r="A842" s="7"/>
      <c r="B842" s="7"/>
    </row>
    <row r="843" spans="1:2">
      <c r="A843" s="7"/>
      <c r="B843" s="7"/>
    </row>
    <row r="844" spans="1:2">
      <c r="A844" s="7"/>
      <c r="B844" s="7"/>
    </row>
    <row r="845" spans="1:2">
      <c r="A845" s="7"/>
      <c r="B845" s="7"/>
    </row>
    <row r="846" spans="1:2">
      <c r="A846" s="7"/>
      <c r="B846" s="7"/>
    </row>
    <row r="847" spans="1:2">
      <c r="A847" s="7"/>
      <c r="B847" s="7"/>
    </row>
    <row r="848" spans="1:2">
      <c r="A848" s="7"/>
      <c r="B848" s="7"/>
    </row>
    <row r="849" spans="1:2">
      <c r="A849" s="7"/>
      <c r="B849" s="7"/>
    </row>
    <row r="850" spans="1:2">
      <c r="A850" s="7"/>
      <c r="B850" s="7"/>
    </row>
    <row r="851" spans="1:2">
      <c r="A851" s="7"/>
      <c r="B851" s="7"/>
    </row>
    <row r="852" spans="1:2">
      <c r="A852" s="7"/>
      <c r="B852" s="7"/>
    </row>
    <row r="853" spans="1:2">
      <c r="A853" s="7"/>
      <c r="B853" s="7"/>
    </row>
    <row r="854" spans="1:2">
      <c r="A854" s="7"/>
      <c r="B854" s="7"/>
    </row>
    <row r="855" spans="1:2">
      <c r="A855" s="7"/>
      <c r="B855" s="7"/>
    </row>
    <row r="856" spans="1:2">
      <c r="A856" s="7"/>
      <c r="B856" s="7"/>
    </row>
    <row r="857" spans="1:2">
      <c r="A857" s="7"/>
      <c r="B857" s="7"/>
    </row>
    <row r="858" spans="1:2">
      <c r="A858" s="7"/>
      <c r="B858" s="7"/>
    </row>
    <row r="859" spans="1:2">
      <c r="A859" s="7"/>
      <c r="B859" s="7"/>
    </row>
    <row r="860" spans="1:2">
      <c r="A860" s="7"/>
      <c r="B860" s="7"/>
    </row>
    <row r="861" spans="1:2">
      <c r="A861" s="7"/>
      <c r="B861" s="7"/>
    </row>
    <row r="862" spans="1:2">
      <c r="A862" s="7"/>
      <c r="B862" s="7"/>
    </row>
    <row r="863" spans="1:2">
      <c r="A863" s="7"/>
      <c r="B863" s="7"/>
    </row>
    <row r="864" spans="1:2">
      <c r="A864" s="7"/>
      <c r="B864" s="7"/>
    </row>
    <row r="865" spans="1:2">
      <c r="A865" s="7"/>
      <c r="B865" s="7"/>
    </row>
    <row r="866" spans="1:2">
      <c r="A866" s="7"/>
      <c r="B866" s="7"/>
    </row>
    <row r="867" spans="1:2">
      <c r="A867" s="7"/>
      <c r="B867" s="7"/>
    </row>
    <row r="868" spans="1:2">
      <c r="A868" s="7"/>
      <c r="B868" s="7"/>
    </row>
    <row r="869" spans="1:2">
      <c r="A869" s="7"/>
      <c r="B869" s="7"/>
    </row>
    <row r="870" spans="1:2">
      <c r="A870" s="7"/>
      <c r="B870" s="7"/>
    </row>
    <row r="871" spans="1:2">
      <c r="A871" s="7"/>
      <c r="B871" s="7"/>
    </row>
    <row r="872" spans="1:2">
      <c r="A872" s="7"/>
      <c r="B872" s="7"/>
    </row>
    <row r="873" spans="1:2">
      <c r="A873" s="7"/>
      <c r="B873" s="7"/>
    </row>
    <row r="874" spans="1:2">
      <c r="A874" s="7"/>
      <c r="B874" s="7"/>
    </row>
    <row r="875" spans="1:2">
      <c r="A875" s="7"/>
      <c r="B875" s="7"/>
    </row>
    <row r="876" spans="1:2">
      <c r="A876" s="7"/>
      <c r="B876" s="7"/>
    </row>
    <row r="877" spans="1:2">
      <c r="A877" s="7"/>
      <c r="B877" s="7"/>
    </row>
    <row r="878" spans="1:2">
      <c r="A878" s="7"/>
      <c r="B878" s="7"/>
    </row>
    <row r="879" spans="1:2">
      <c r="A879" s="7"/>
      <c r="B879" s="7"/>
    </row>
    <row r="880" spans="1:2">
      <c r="A880" s="7"/>
      <c r="B880" s="7"/>
    </row>
    <row r="881" spans="1:2">
      <c r="A881" s="7"/>
      <c r="B881" s="7"/>
    </row>
    <row r="882" spans="1:2">
      <c r="A882" s="7"/>
      <c r="B882" s="7"/>
    </row>
    <row r="883" spans="1:2">
      <c r="A883" s="7"/>
      <c r="B883" s="7"/>
    </row>
    <row r="884" spans="1:2">
      <c r="A884" s="7"/>
      <c r="B884" s="7"/>
    </row>
    <row r="885" spans="1:2">
      <c r="A885" s="7"/>
      <c r="B885" s="7"/>
    </row>
    <row r="886" spans="1:2">
      <c r="A886" s="7"/>
      <c r="B886" s="7"/>
    </row>
    <row r="887" spans="1:2">
      <c r="A887" s="7"/>
      <c r="B887" s="7"/>
    </row>
    <row r="888" spans="1:2">
      <c r="A888" s="7"/>
      <c r="B888" s="7"/>
    </row>
    <row r="889" spans="1:2">
      <c r="A889" s="7"/>
      <c r="B889" s="7"/>
    </row>
    <row r="890" spans="1:2">
      <c r="A890" s="7"/>
      <c r="B890" s="7"/>
    </row>
    <row r="891" spans="1:2">
      <c r="A891" s="7"/>
      <c r="B891" s="7"/>
    </row>
    <row r="892" spans="1:2">
      <c r="A892" s="7"/>
      <c r="B892" s="7"/>
    </row>
    <row r="893" spans="1:2">
      <c r="A893" s="7"/>
      <c r="B893" s="7"/>
    </row>
    <row r="894" spans="1:2">
      <c r="A894" s="7"/>
      <c r="B894" s="7"/>
    </row>
    <row r="895" spans="1:2">
      <c r="A895" s="7"/>
      <c r="B895" s="7"/>
    </row>
    <row r="896" spans="1:2">
      <c r="A896" s="7"/>
      <c r="B896" s="7"/>
    </row>
    <row r="897" spans="1:2">
      <c r="A897" s="7"/>
      <c r="B897" s="7"/>
    </row>
    <row r="898" spans="1:2">
      <c r="A898" s="7"/>
      <c r="B898" s="7"/>
    </row>
    <row r="899" spans="1:2">
      <c r="A899" s="7"/>
      <c r="B899" s="7"/>
    </row>
    <row r="900" spans="1:2">
      <c r="A900" s="7"/>
      <c r="B900" s="7"/>
    </row>
    <row r="901" spans="1:2">
      <c r="A901" s="7"/>
      <c r="B901" s="7"/>
    </row>
    <row r="902" spans="1:2">
      <c r="A902" s="7"/>
      <c r="B902" s="7"/>
    </row>
    <row r="903" spans="1:2">
      <c r="A903" s="7"/>
      <c r="B903" s="7"/>
    </row>
    <row r="904" spans="1:2">
      <c r="A904" s="7"/>
      <c r="B904" s="7"/>
    </row>
    <row r="905" spans="1:2">
      <c r="A905" s="7"/>
      <c r="B905" s="7"/>
    </row>
    <row r="906" spans="1:2">
      <c r="A906" s="7"/>
      <c r="B906" s="7"/>
    </row>
    <row r="907" spans="1:2">
      <c r="A907" s="7"/>
      <c r="B907" s="7"/>
    </row>
    <row r="908" spans="1:2">
      <c r="A908" s="7"/>
      <c r="B908" s="7"/>
    </row>
    <row r="909" spans="1:2">
      <c r="A909" s="7"/>
      <c r="B909" s="7"/>
    </row>
    <row r="910" spans="1:2">
      <c r="A910" s="7"/>
      <c r="B910" s="7"/>
    </row>
    <row r="911" spans="1:2">
      <c r="A911" s="7"/>
      <c r="B911" s="7"/>
    </row>
    <row r="912" spans="1:2">
      <c r="A912" s="7"/>
      <c r="B912" s="7"/>
    </row>
    <row r="913" spans="1:2">
      <c r="A913" s="7"/>
      <c r="B913" s="7"/>
    </row>
    <row r="914" spans="1:2">
      <c r="A914" s="7"/>
      <c r="B914" s="7"/>
    </row>
    <row r="915" spans="1:2">
      <c r="A915" s="7"/>
      <c r="B915" s="7"/>
    </row>
    <row r="916" spans="1:2">
      <c r="A916" s="7"/>
      <c r="B916" s="7"/>
    </row>
    <row r="917" spans="1:2">
      <c r="A917" s="7"/>
      <c r="B917" s="7"/>
    </row>
    <row r="918" spans="1:2">
      <c r="A918" s="7"/>
      <c r="B918" s="7"/>
    </row>
    <row r="919" spans="1:2">
      <c r="A919" s="7"/>
      <c r="B919" s="7"/>
    </row>
    <row r="920" spans="1:2">
      <c r="A920" s="7"/>
      <c r="B920" s="7"/>
    </row>
    <row r="921" spans="1:2">
      <c r="A921" s="7"/>
      <c r="B921" s="7"/>
    </row>
    <row r="922" spans="1:2">
      <c r="A922" s="7"/>
      <c r="B922" s="7"/>
    </row>
    <row r="923" spans="1:2">
      <c r="A923" s="7"/>
      <c r="B923" s="7"/>
    </row>
    <row r="924" spans="1:2">
      <c r="A924" s="7"/>
      <c r="B924" s="7"/>
    </row>
    <row r="925" spans="1:2">
      <c r="A925" s="7"/>
      <c r="B925" s="7"/>
    </row>
    <row r="926" spans="1:2">
      <c r="A926" s="7"/>
      <c r="B926" s="7"/>
    </row>
    <row r="927" spans="1:2">
      <c r="A927" s="7"/>
      <c r="B927" s="7"/>
    </row>
    <row r="928" spans="1:2">
      <c r="A928" s="7"/>
      <c r="B928" s="7"/>
    </row>
    <row r="929" spans="1:2">
      <c r="A929" s="7"/>
      <c r="B929" s="7"/>
    </row>
    <row r="930" spans="1:2">
      <c r="A930" s="7"/>
      <c r="B930" s="7"/>
    </row>
    <row r="931" spans="1:2">
      <c r="A931" s="7"/>
      <c r="B931" s="7"/>
    </row>
    <row r="932" spans="1:2">
      <c r="A932" s="7"/>
      <c r="B932" s="7"/>
    </row>
    <row r="933" spans="1:2">
      <c r="A933" s="7"/>
      <c r="B933" s="7"/>
    </row>
    <row r="934" spans="1:2">
      <c r="A934" s="7"/>
      <c r="B934" s="7"/>
    </row>
    <row r="935" spans="1:2">
      <c r="A935" s="7"/>
      <c r="B935" s="7"/>
    </row>
    <row r="936" spans="1:2">
      <c r="A936" s="7"/>
      <c r="B936" s="7"/>
    </row>
    <row r="937" spans="1:2">
      <c r="A937" s="7"/>
      <c r="B937" s="7"/>
    </row>
    <row r="938" spans="1:2">
      <c r="A938" s="7"/>
      <c r="B938" s="7"/>
    </row>
    <row r="939" spans="1:2">
      <c r="A939" s="7"/>
      <c r="B939" s="7"/>
    </row>
    <row r="940" spans="1:2">
      <c r="A940" s="7"/>
      <c r="B940" s="7"/>
    </row>
    <row r="941" spans="1:2">
      <c r="A941" s="7"/>
      <c r="B941" s="7"/>
    </row>
    <row r="942" spans="1:2">
      <c r="A942" s="7"/>
      <c r="B942" s="7"/>
    </row>
    <row r="943" spans="1:2">
      <c r="A943" s="7"/>
      <c r="B943" s="7"/>
    </row>
    <row r="944" spans="1:2">
      <c r="A944" s="7"/>
      <c r="B944" s="7"/>
    </row>
    <row r="945" spans="1:2">
      <c r="A945" s="7"/>
      <c r="B945" s="7"/>
    </row>
    <row r="946" spans="1:2">
      <c r="A946" s="7"/>
      <c r="B946" s="7"/>
    </row>
    <row r="947" spans="1:2">
      <c r="A947" s="7"/>
      <c r="B947" s="7"/>
    </row>
    <row r="948" spans="1:2">
      <c r="A948" s="7"/>
      <c r="B948" s="7"/>
    </row>
    <row r="949" spans="1:2">
      <c r="A949" s="7"/>
      <c r="B949" s="7"/>
    </row>
    <row r="950" spans="1:2">
      <c r="A950" s="7"/>
      <c r="B950" s="7"/>
    </row>
    <row r="951" spans="1:2">
      <c r="A951" s="7"/>
      <c r="B951" s="7"/>
    </row>
    <row r="952" spans="1:2">
      <c r="A952" s="7"/>
      <c r="B952" s="7"/>
    </row>
    <row r="953" spans="1:2">
      <c r="A953" s="7"/>
      <c r="B953" s="7"/>
    </row>
    <row r="954" spans="1:2">
      <c r="A954" s="7"/>
      <c r="B954" s="7"/>
    </row>
    <row r="955" spans="1:2">
      <c r="A955" s="7"/>
      <c r="B955" s="7"/>
    </row>
    <row r="956" spans="1:2">
      <c r="A956" s="7"/>
      <c r="B956" s="7"/>
    </row>
    <row r="957" spans="1:2">
      <c r="A957" s="7"/>
      <c r="B957" s="7"/>
    </row>
    <row r="958" spans="1:2">
      <c r="A958" s="7"/>
      <c r="B958" s="7"/>
    </row>
    <row r="959" spans="1:2">
      <c r="A959" s="7"/>
      <c r="B959" s="7"/>
    </row>
    <row r="960" spans="1:2">
      <c r="A960" s="7"/>
      <c r="B960" s="7"/>
    </row>
    <row r="961" spans="1:2">
      <c r="A961" s="7"/>
      <c r="B961" s="7"/>
    </row>
    <row r="962" spans="1:2">
      <c r="A962" s="7"/>
      <c r="B962" s="7"/>
    </row>
    <row r="963" spans="1:2">
      <c r="A963" s="7"/>
      <c r="B963" s="7"/>
    </row>
    <row r="964" spans="1:2">
      <c r="A964" s="7"/>
      <c r="B964" s="7"/>
    </row>
    <row r="965" spans="1:2">
      <c r="A965" s="7"/>
      <c r="B965" s="7"/>
    </row>
    <row r="966" spans="1:2">
      <c r="A966" s="7"/>
      <c r="B966" s="7"/>
    </row>
    <row r="967" spans="1:2">
      <c r="A967" s="7"/>
      <c r="B967" s="7"/>
    </row>
    <row r="968" spans="1:2">
      <c r="A968" s="7"/>
      <c r="B968" s="7"/>
    </row>
    <row r="969" spans="1:2">
      <c r="A969" s="7"/>
      <c r="B969" s="7"/>
    </row>
    <row r="970" spans="1:2">
      <c r="A970" s="7"/>
      <c r="B970" s="7"/>
    </row>
    <row r="971" spans="1:2">
      <c r="A971" s="7"/>
      <c r="B971" s="7"/>
    </row>
    <row r="972" spans="1:2">
      <c r="A972" s="7"/>
      <c r="B972" s="7"/>
    </row>
    <row r="973" spans="1:2">
      <c r="A973" s="7"/>
      <c r="B973" s="7"/>
    </row>
    <row r="974" spans="1:2">
      <c r="A974" s="7"/>
      <c r="B974" s="7"/>
    </row>
    <row r="975" spans="1:2">
      <c r="A975" s="7"/>
      <c r="B975" s="7"/>
    </row>
    <row r="976" spans="1:2">
      <c r="A976" s="7"/>
      <c r="B976" s="7"/>
    </row>
    <row r="977" spans="1:2">
      <c r="A977" s="7"/>
      <c r="B977" s="7"/>
    </row>
    <row r="978" spans="1:2">
      <c r="A978" s="7"/>
      <c r="B978" s="7"/>
    </row>
    <row r="979" spans="1:2">
      <c r="A979" s="7"/>
      <c r="B979" s="7"/>
    </row>
    <row r="980" spans="1:2">
      <c r="A980" s="7"/>
      <c r="B980" s="7"/>
    </row>
    <row r="981" spans="1:2">
      <c r="A981" s="7"/>
      <c r="B981" s="7"/>
    </row>
    <row r="982" spans="1:2">
      <c r="A982" s="7"/>
      <c r="B982" s="7"/>
    </row>
    <row r="983" spans="1:2">
      <c r="A983" s="7"/>
      <c r="B983" s="7"/>
    </row>
    <row r="984" spans="1:2">
      <c r="A984" s="7"/>
      <c r="B984" s="7"/>
    </row>
    <row r="985" spans="1:2">
      <c r="A985" s="7"/>
      <c r="B985" s="7"/>
    </row>
    <row r="986" spans="1:2">
      <c r="A986" s="7"/>
      <c r="B986" s="7"/>
    </row>
    <row r="987" spans="1:2">
      <c r="A987" s="7"/>
      <c r="B987" s="7"/>
    </row>
    <row r="988" spans="1:2">
      <c r="A988" s="7"/>
      <c r="B988" s="7"/>
    </row>
    <row r="989" spans="1:2">
      <c r="A989" s="7"/>
      <c r="B989" s="7"/>
    </row>
    <row r="990" spans="1:2">
      <c r="A990" s="7"/>
      <c r="B990" s="7"/>
    </row>
    <row r="991" spans="1:2">
      <c r="A991" s="7"/>
      <c r="B991" s="7"/>
    </row>
    <row r="992" spans="1:2">
      <c r="A992" s="7"/>
      <c r="B992" s="7"/>
    </row>
    <row r="993" spans="1:2">
      <c r="A993" s="7"/>
      <c r="B993" s="7"/>
    </row>
    <row r="994" spans="1:2">
      <c r="A994" s="7"/>
      <c r="B994" s="7"/>
    </row>
    <row r="995" spans="1:2">
      <c r="A995" s="7"/>
      <c r="B995" s="7"/>
    </row>
    <row r="996" spans="1:2">
      <c r="A996" s="7"/>
      <c r="B996" s="7"/>
    </row>
    <row r="997" spans="1:2">
      <c r="A997" s="7"/>
      <c r="B997" s="7"/>
    </row>
    <row r="998" spans="1:2">
      <c r="A998" s="7"/>
      <c r="B998" s="7"/>
    </row>
    <row r="999" spans="1:2">
      <c r="A999" s="7"/>
      <c r="B999" s="7"/>
    </row>
    <row r="1000" spans="1:2">
      <c r="A1000" s="7"/>
      <c r="B1000" s="7"/>
    </row>
    <row r="1001" spans="1:2">
      <c r="A1001" s="7"/>
      <c r="B1001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Y13"/>
  <sheetViews>
    <sheetView workbookViewId="0"/>
  </sheetViews>
  <sheetFormatPr baseColWidth="10" defaultColWidth="12.64453125" defaultRowHeight="15.75" customHeight="1"/>
  <sheetData>
    <row r="1" spans="1:25">
      <c r="A1" s="11" t="s">
        <v>5</v>
      </c>
      <c r="B1" s="7" t="s">
        <v>501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>
      <c r="A2" s="8" t="s">
        <v>130</v>
      </c>
      <c r="B2" s="7" t="e">
        <f>CONCATENATE(C3:Q11)</f>
        <v>#VALUE!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>
      <c r="A3" s="8" t="s">
        <v>502</v>
      </c>
      <c r="B3" s="7" t="e">
        <f t="shared" ref="B3:B11" si="0">CONCATENATE(C3:Q3)</f>
        <v>#VALUE!</v>
      </c>
      <c r="C3" s="7" t="s">
        <v>246</v>
      </c>
      <c r="D3" s="7" t="s">
        <v>244</v>
      </c>
      <c r="E3" s="7" t="s">
        <v>242</v>
      </c>
      <c r="F3" s="7" t="s">
        <v>240</v>
      </c>
      <c r="G3" s="7" t="s">
        <v>238</v>
      </c>
      <c r="H3" s="7" t="s">
        <v>237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>
      <c r="A4" s="8" t="s">
        <v>125</v>
      </c>
      <c r="B4" s="7" t="e">
        <f t="shared" si="0"/>
        <v>#VALUE!</v>
      </c>
      <c r="C4" s="7" t="s">
        <v>223</v>
      </c>
      <c r="D4" s="7" t="s">
        <v>225</v>
      </c>
      <c r="E4" s="7" t="s">
        <v>220</v>
      </c>
      <c r="F4" s="7" t="s">
        <v>194</v>
      </c>
      <c r="G4" s="7" t="s">
        <v>214</v>
      </c>
      <c r="H4" s="7" t="s">
        <v>216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>
      <c r="A5" s="8" t="s">
        <v>503</v>
      </c>
      <c r="B5" s="7" t="e">
        <f t="shared" si="0"/>
        <v>#VALUE!</v>
      </c>
      <c r="C5" s="7" t="s">
        <v>223</v>
      </c>
      <c r="D5" s="7" t="s">
        <v>225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>
      <c r="A6" s="8" t="s">
        <v>504</v>
      </c>
      <c r="B6" s="7" t="e">
        <f t="shared" si="0"/>
        <v>#VALUE!</v>
      </c>
      <c r="C6" s="7" t="s">
        <v>220</v>
      </c>
      <c r="D6" s="7" t="s">
        <v>194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>
      <c r="A7" s="8" t="s">
        <v>505</v>
      </c>
      <c r="B7" s="7" t="e">
        <f t="shared" si="0"/>
        <v>#VALUE!</v>
      </c>
      <c r="C7" s="7" t="s">
        <v>214</v>
      </c>
      <c r="D7" s="7" t="s">
        <v>216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>
      <c r="A8" s="8" t="s">
        <v>506</v>
      </c>
      <c r="B8" s="7" t="e">
        <f t="shared" si="0"/>
        <v>#VALUE!</v>
      </c>
      <c r="C8" s="7" t="s">
        <v>227</v>
      </c>
      <c r="D8" s="7" t="s">
        <v>229</v>
      </c>
      <c r="E8" s="7" t="s">
        <v>230</v>
      </c>
      <c r="F8" s="7" t="s">
        <v>232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>
      <c r="A9" s="8" t="s">
        <v>507</v>
      </c>
      <c r="B9" s="7" t="e">
        <f t="shared" si="0"/>
        <v>#VALUE!</v>
      </c>
      <c r="C9" s="7" t="s">
        <v>234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>
      <c r="A10" s="8" t="s">
        <v>508</v>
      </c>
      <c r="B10" s="7" t="e">
        <f t="shared" si="0"/>
        <v>#VALUE!</v>
      </c>
      <c r="C10" s="7" t="s">
        <v>234</v>
      </c>
      <c r="D10" s="7" t="s">
        <v>227</v>
      </c>
      <c r="E10" s="7" t="s">
        <v>229</v>
      </c>
      <c r="F10" s="7" t="s">
        <v>230</v>
      </c>
      <c r="G10" s="7" t="s">
        <v>232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>
      <c r="A11" s="8" t="s">
        <v>509</v>
      </c>
      <c r="B11" s="7" t="e">
        <f t="shared" si="0"/>
        <v>#VALUE!</v>
      </c>
      <c r="C11" s="17">
        <v>30</v>
      </c>
      <c r="D11" s="17">
        <v>35</v>
      </c>
      <c r="E11" s="17">
        <v>40</v>
      </c>
      <c r="F11" s="17">
        <v>45</v>
      </c>
      <c r="G11" s="17">
        <v>50</v>
      </c>
      <c r="H11" s="17">
        <v>55</v>
      </c>
      <c r="I11" s="17">
        <v>60</v>
      </c>
      <c r="J11" s="17">
        <v>65</v>
      </c>
      <c r="K11" s="17">
        <v>70</v>
      </c>
      <c r="L11" s="17">
        <v>75</v>
      </c>
      <c r="M11" s="17">
        <v>80</v>
      </c>
      <c r="N11" s="17">
        <v>85</v>
      </c>
      <c r="O11" s="17">
        <v>90</v>
      </c>
      <c r="P11" s="17">
        <v>95</v>
      </c>
      <c r="Q11" s="29" t="s">
        <v>510</v>
      </c>
      <c r="R11" s="7"/>
      <c r="S11" s="7"/>
      <c r="T11" s="7"/>
      <c r="U11" s="7"/>
      <c r="V11" s="7"/>
      <c r="W11" s="7"/>
      <c r="X11" s="7"/>
      <c r="Y11" s="7"/>
    </row>
    <row r="12" spans="1: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B1:B9"/>
  <sheetViews>
    <sheetView workbookViewId="0"/>
  </sheetViews>
  <sheetFormatPr baseColWidth="10" defaultColWidth="12.64453125" defaultRowHeight="15.75" customHeight="1"/>
  <sheetData>
    <row r="1" spans="2:2">
      <c r="B1" s="1" t="s">
        <v>511</v>
      </c>
    </row>
    <row r="2" spans="2:2">
      <c r="B2" s="1">
        <v>100</v>
      </c>
    </row>
    <row r="3" spans="2:2">
      <c r="B3" s="1">
        <v>300</v>
      </c>
    </row>
    <row r="4" spans="2:2">
      <c r="B4" s="1">
        <v>500</v>
      </c>
    </row>
    <row r="5" spans="2:2">
      <c r="B5" s="1">
        <v>1000</v>
      </c>
    </row>
    <row r="6" spans="2:2">
      <c r="B6" s="1">
        <v>1500</v>
      </c>
    </row>
    <row r="7" spans="2:2">
      <c r="B7" s="1">
        <v>3000</v>
      </c>
    </row>
    <row r="8" spans="2:2">
      <c r="B8" s="1">
        <v>5000</v>
      </c>
    </row>
    <row r="9" spans="2:2">
      <c r="B9" s="1">
        <v>10000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J999"/>
  <sheetViews>
    <sheetView tabSelected="1" workbookViewId="0">
      <selection activeCell="G18" sqref="G18"/>
    </sheetView>
  </sheetViews>
  <sheetFormatPr baseColWidth="10" defaultColWidth="12.64453125" defaultRowHeight="15.75" customHeight="1"/>
  <cols>
    <col min="6" max="6" width="23.64453125" customWidth="1"/>
    <col min="7" max="7" width="31.46875" customWidth="1"/>
  </cols>
  <sheetData>
    <row r="1" spans="1:9">
      <c r="A1" s="30" t="s">
        <v>135</v>
      </c>
      <c r="B1" s="30" t="s">
        <v>512</v>
      </c>
      <c r="C1" s="30" t="s">
        <v>513</v>
      </c>
      <c r="E1" s="1"/>
      <c r="F1" s="1"/>
      <c r="G1" s="1"/>
    </row>
    <row r="2" spans="1:9">
      <c r="A2" s="1">
        <v>100</v>
      </c>
      <c r="B2" s="1" t="s">
        <v>514</v>
      </c>
      <c r="C2" s="1" t="s">
        <v>152</v>
      </c>
      <c r="E2" s="1"/>
      <c r="F2" s="1"/>
      <c r="G2" s="1"/>
    </row>
    <row r="3" spans="1:9">
      <c r="A3" s="1">
        <v>99</v>
      </c>
      <c r="B3" s="1" t="s">
        <v>514</v>
      </c>
      <c r="C3" s="1" t="s">
        <v>152</v>
      </c>
      <c r="E3" s="1"/>
      <c r="F3" s="1"/>
      <c r="G3" s="1"/>
    </row>
    <row r="4" spans="1:9">
      <c r="A4" s="1">
        <v>98</v>
      </c>
      <c r="B4" s="1" t="s">
        <v>514</v>
      </c>
      <c r="C4" s="1" t="s">
        <v>152</v>
      </c>
      <c r="E4" s="1"/>
      <c r="F4" s="1"/>
      <c r="G4" s="1"/>
    </row>
    <row r="5" spans="1:9">
      <c r="A5" s="1">
        <v>97</v>
      </c>
      <c r="B5" s="1" t="s">
        <v>514</v>
      </c>
      <c r="C5" s="1" t="s">
        <v>152</v>
      </c>
      <c r="E5" s="1"/>
      <c r="F5" s="1"/>
      <c r="G5" s="1"/>
    </row>
    <row r="6" spans="1:9">
      <c r="A6" s="1">
        <v>96</v>
      </c>
      <c r="B6" s="1" t="s">
        <v>514</v>
      </c>
      <c r="C6" s="1" t="s">
        <v>152</v>
      </c>
      <c r="E6" s="1"/>
      <c r="F6" s="1"/>
      <c r="G6" s="1"/>
    </row>
    <row r="7" spans="1:9">
      <c r="A7" s="1">
        <v>95</v>
      </c>
      <c r="B7" s="1" t="s">
        <v>514</v>
      </c>
      <c r="C7" s="1" t="s">
        <v>152</v>
      </c>
      <c r="E7" s="1"/>
      <c r="F7" s="1"/>
      <c r="G7" s="1"/>
    </row>
    <row r="8" spans="1:9">
      <c r="A8" s="1">
        <v>94</v>
      </c>
      <c r="B8" s="1" t="s">
        <v>514</v>
      </c>
      <c r="C8" s="1" t="s">
        <v>152</v>
      </c>
      <c r="E8" s="1"/>
      <c r="F8" s="1"/>
      <c r="G8" s="1"/>
    </row>
    <row r="9" spans="1:9">
      <c r="A9" s="1">
        <v>93</v>
      </c>
      <c r="B9" s="1" t="s">
        <v>514</v>
      </c>
      <c r="C9" s="1" t="s">
        <v>152</v>
      </c>
      <c r="E9" s="1"/>
      <c r="F9" s="1"/>
      <c r="G9" s="1"/>
    </row>
    <row r="10" spans="1:9">
      <c r="A10" s="1">
        <v>92</v>
      </c>
      <c r="B10" s="1" t="s">
        <v>514</v>
      </c>
      <c r="C10" s="1" t="s">
        <v>152</v>
      </c>
      <c r="E10" s="1"/>
      <c r="F10" s="1"/>
      <c r="G10" s="1"/>
    </row>
    <row r="11" spans="1:9">
      <c r="A11" s="1">
        <v>91</v>
      </c>
      <c r="B11" s="1" t="s">
        <v>514</v>
      </c>
      <c r="C11" s="1" t="s">
        <v>152</v>
      </c>
      <c r="F11" s="1"/>
      <c r="G11" s="1"/>
    </row>
    <row r="12" spans="1:9">
      <c r="A12" s="1">
        <v>90</v>
      </c>
      <c r="B12" s="1" t="s">
        <v>514</v>
      </c>
      <c r="C12" s="1" t="s">
        <v>152</v>
      </c>
      <c r="F12" s="1"/>
      <c r="G12" s="1"/>
    </row>
    <row r="13" spans="1:9">
      <c r="A13" s="1">
        <v>89</v>
      </c>
      <c r="B13" s="1" t="s">
        <v>514</v>
      </c>
      <c r="C13" s="1" t="s">
        <v>152</v>
      </c>
      <c r="E13" s="1"/>
      <c r="H13" s="1"/>
    </row>
    <row r="14" spans="1:9">
      <c r="A14" s="1">
        <v>88</v>
      </c>
      <c r="B14" s="1" t="s">
        <v>514</v>
      </c>
      <c r="C14" s="1" t="s">
        <v>152</v>
      </c>
      <c r="E14" s="1"/>
      <c r="F14" s="1"/>
      <c r="H14" s="1"/>
      <c r="I14" s="1"/>
    </row>
    <row r="15" spans="1:9">
      <c r="A15" s="1">
        <v>87</v>
      </c>
      <c r="B15" s="1" t="s">
        <v>514</v>
      </c>
      <c r="C15" s="1" t="s">
        <v>152</v>
      </c>
      <c r="E15" s="21"/>
      <c r="F15" s="25"/>
      <c r="H15" s="1"/>
    </row>
    <row r="16" spans="1:9">
      <c r="A16" s="1">
        <v>86</v>
      </c>
      <c r="B16" s="1" t="s">
        <v>514</v>
      </c>
      <c r="C16" s="1" t="s">
        <v>152</v>
      </c>
      <c r="E16" s="21"/>
      <c r="F16" s="25"/>
      <c r="H16" s="1"/>
    </row>
    <row r="17" spans="1:10">
      <c r="A17" s="1">
        <v>85</v>
      </c>
      <c r="B17" s="1" t="s">
        <v>514</v>
      </c>
      <c r="C17" s="1" t="s">
        <v>152</v>
      </c>
      <c r="E17" s="21"/>
      <c r="F17" s="25"/>
      <c r="H17" s="1"/>
    </row>
    <row r="18" spans="1:10">
      <c r="A18" s="1">
        <v>84</v>
      </c>
      <c r="B18" s="1" t="s">
        <v>514</v>
      </c>
      <c r="C18" s="1" t="s">
        <v>152</v>
      </c>
      <c r="E18" s="21"/>
      <c r="F18" s="25"/>
      <c r="H18" s="1"/>
    </row>
    <row r="19" spans="1:10">
      <c r="A19" s="1">
        <v>83</v>
      </c>
      <c r="B19" s="1" t="s">
        <v>514</v>
      </c>
      <c r="C19" s="1" t="s">
        <v>152</v>
      </c>
      <c r="E19" s="21"/>
      <c r="F19" s="25"/>
      <c r="H19" s="1"/>
    </row>
    <row r="20" spans="1:10">
      <c r="A20" s="1">
        <v>82</v>
      </c>
      <c r="B20" s="1" t="s">
        <v>514</v>
      </c>
      <c r="C20" s="1" t="s">
        <v>152</v>
      </c>
      <c r="E20" s="21"/>
      <c r="F20" s="25"/>
      <c r="H20" s="1"/>
    </row>
    <row r="21" spans="1:10">
      <c r="A21" s="1">
        <v>81</v>
      </c>
      <c r="B21" s="1" t="s">
        <v>514</v>
      </c>
      <c r="C21" s="1" t="s">
        <v>152</v>
      </c>
      <c r="E21" s="21"/>
      <c r="F21" s="25"/>
      <c r="H21" s="1"/>
    </row>
    <row r="22" spans="1:10">
      <c r="A22" s="1">
        <v>80</v>
      </c>
      <c r="B22" s="1" t="s">
        <v>514</v>
      </c>
      <c r="C22" s="1" t="s">
        <v>152</v>
      </c>
      <c r="E22" s="21"/>
      <c r="F22" s="25"/>
      <c r="H22" s="1"/>
    </row>
    <row r="23" spans="1:10">
      <c r="A23" s="1">
        <v>79</v>
      </c>
      <c r="B23" s="1" t="s">
        <v>514</v>
      </c>
      <c r="C23" s="1" t="s">
        <v>152</v>
      </c>
      <c r="E23" s="1"/>
      <c r="F23" s="1"/>
      <c r="H23" s="1"/>
    </row>
    <row r="24" spans="1:10">
      <c r="A24" s="1">
        <v>78</v>
      </c>
      <c r="B24" s="1" t="s">
        <v>514</v>
      </c>
      <c r="C24" s="1" t="s">
        <v>152</v>
      </c>
      <c r="E24" s="21"/>
      <c r="F24" s="1"/>
      <c r="H24" s="1"/>
    </row>
    <row r="25" spans="1:10">
      <c r="A25" s="1">
        <v>77</v>
      </c>
      <c r="B25" s="1" t="s">
        <v>514</v>
      </c>
      <c r="C25" s="1" t="s">
        <v>152</v>
      </c>
      <c r="E25" s="21"/>
      <c r="F25" s="1"/>
      <c r="H25" s="1"/>
    </row>
    <row r="26" spans="1:10">
      <c r="A26" s="1">
        <v>76</v>
      </c>
      <c r="B26" s="1" t="s">
        <v>514</v>
      </c>
      <c r="C26" s="1" t="s">
        <v>152</v>
      </c>
      <c r="E26" s="21"/>
      <c r="F26" s="1"/>
      <c r="H26" s="1"/>
    </row>
    <row r="27" spans="1:10">
      <c r="A27" s="1">
        <v>75</v>
      </c>
      <c r="B27" s="1" t="s">
        <v>514</v>
      </c>
      <c r="C27" s="1" t="s">
        <v>152</v>
      </c>
      <c r="E27" s="21"/>
      <c r="F27" s="1"/>
      <c r="H27" s="1"/>
    </row>
    <row r="28" spans="1:10">
      <c r="A28" s="1">
        <v>74</v>
      </c>
      <c r="B28" s="1" t="s">
        <v>514</v>
      </c>
      <c r="C28" s="1" t="s">
        <v>152</v>
      </c>
      <c r="E28" s="21"/>
      <c r="F28" s="1"/>
      <c r="H28" s="1"/>
    </row>
    <row r="29" spans="1:10">
      <c r="A29" s="1">
        <v>73</v>
      </c>
      <c r="B29" s="1" t="s">
        <v>514</v>
      </c>
      <c r="C29" s="1" t="s">
        <v>152</v>
      </c>
      <c r="E29" s="21"/>
      <c r="F29" s="1"/>
      <c r="H29" s="1"/>
    </row>
    <row r="30" spans="1:10">
      <c r="A30" s="1">
        <v>72</v>
      </c>
      <c r="B30" s="1" t="s">
        <v>514</v>
      </c>
      <c r="C30" s="1" t="s">
        <v>152</v>
      </c>
      <c r="E30" s="21"/>
      <c r="F30" s="25"/>
      <c r="H30" s="1"/>
      <c r="J30" s="5"/>
    </row>
    <row r="31" spans="1:10">
      <c r="A31" s="1">
        <v>71</v>
      </c>
      <c r="B31" s="1" t="s">
        <v>514</v>
      </c>
      <c r="C31" s="1" t="s">
        <v>152</v>
      </c>
      <c r="E31" s="21"/>
      <c r="F31" s="25"/>
      <c r="H31" s="1"/>
      <c r="J31" s="5"/>
    </row>
    <row r="32" spans="1:10">
      <c r="A32" s="1">
        <v>70</v>
      </c>
      <c r="B32" s="1" t="s">
        <v>514</v>
      </c>
      <c r="C32" s="1" t="s">
        <v>152</v>
      </c>
      <c r="E32" s="21"/>
      <c r="F32" s="25"/>
      <c r="H32" s="1"/>
      <c r="J32" s="5"/>
    </row>
    <row r="33" spans="1:10">
      <c r="A33" s="1">
        <v>69</v>
      </c>
      <c r="B33" s="1" t="s">
        <v>514</v>
      </c>
      <c r="C33" s="1" t="s">
        <v>152</v>
      </c>
      <c r="E33" s="21"/>
      <c r="F33" s="25"/>
      <c r="H33" s="1"/>
      <c r="J33" s="5"/>
    </row>
    <row r="34" spans="1:10">
      <c r="A34" s="1">
        <v>68</v>
      </c>
      <c r="B34" s="1" t="s">
        <v>514</v>
      </c>
      <c r="C34" s="1" t="s">
        <v>152</v>
      </c>
      <c r="E34" s="21"/>
      <c r="F34" s="25"/>
      <c r="H34" s="1"/>
      <c r="J34" s="5"/>
    </row>
    <row r="35" spans="1:10">
      <c r="A35" s="1">
        <v>67</v>
      </c>
      <c r="B35" s="1" t="s">
        <v>514</v>
      </c>
      <c r="C35" s="1" t="s">
        <v>152</v>
      </c>
      <c r="E35" s="21"/>
      <c r="F35" s="25"/>
      <c r="H35" s="1"/>
      <c r="J35" s="5"/>
    </row>
    <row r="36" spans="1:10">
      <c r="A36" s="1">
        <v>66</v>
      </c>
      <c r="B36" s="1" t="s">
        <v>514</v>
      </c>
      <c r="C36" s="1" t="s">
        <v>152</v>
      </c>
      <c r="E36" s="21"/>
      <c r="F36" s="25"/>
      <c r="H36" s="1"/>
      <c r="J36" s="5"/>
    </row>
    <row r="37" spans="1:10">
      <c r="A37" s="1">
        <v>65</v>
      </c>
      <c r="B37" s="1" t="s">
        <v>514</v>
      </c>
      <c r="C37" s="1" t="s">
        <v>152</v>
      </c>
      <c r="E37" s="21"/>
      <c r="F37" s="25"/>
      <c r="H37" s="1"/>
      <c r="J37" s="5"/>
    </row>
    <row r="38" spans="1:10">
      <c r="A38" s="1">
        <v>64</v>
      </c>
      <c r="B38" s="1" t="s">
        <v>515</v>
      </c>
      <c r="C38" s="1" t="s">
        <v>516</v>
      </c>
      <c r="E38" s="1"/>
      <c r="F38" s="1"/>
      <c r="G38" s="1"/>
    </row>
    <row r="39" spans="1:10">
      <c r="A39" s="1">
        <v>63</v>
      </c>
      <c r="B39" s="1" t="s">
        <v>515</v>
      </c>
      <c r="C39" s="1" t="s">
        <v>516</v>
      </c>
      <c r="E39" s="1"/>
      <c r="F39" s="1"/>
      <c r="G39" s="1"/>
    </row>
    <row r="40" spans="1:10">
      <c r="A40" s="1">
        <v>62</v>
      </c>
      <c r="B40" s="1" t="s">
        <v>515</v>
      </c>
      <c r="C40" s="1" t="s">
        <v>516</v>
      </c>
      <c r="E40" s="1"/>
      <c r="F40" s="1"/>
      <c r="G40" s="1"/>
    </row>
    <row r="41" spans="1:10">
      <c r="A41" s="1">
        <v>61</v>
      </c>
      <c r="B41" s="1" t="s">
        <v>515</v>
      </c>
      <c r="C41" s="1" t="s">
        <v>516</v>
      </c>
      <c r="E41" s="1"/>
      <c r="F41" s="1"/>
      <c r="G41" s="1"/>
    </row>
    <row r="42" spans="1:10">
      <c r="A42" s="1">
        <v>60</v>
      </c>
      <c r="B42" s="1" t="s">
        <v>515</v>
      </c>
      <c r="C42" s="1" t="s">
        <v>516</v>
      </c>
      <c r="E42" s="1"/>
      <c r="F42" s="1"/>
      <c r="G42" s="1"/>
    </row>
    <row r="43" spans="1:10">
      <c r="A43" s="1">
        <v>59</v>
      </c>
      <c r="B43" s="1" t="s">
        <v>517</v>
      </c>
      <c r="C43" s="1" t="s">
        <v>151</v>
      </c>
      <c r="E43" s="1"/>
      <c r="F43" s="1"/>
      <c r="G43" s="1"/>
    </row>
    <row r="44" spans="1:10">
      <c r="A44" s="1">
        <v>58</v>
      </c>
      <c r="B44" s="1" t="s">
        <v>517</v>
      </c>
      <c r="C44" s="1" t="s">
        <v>151</v>
      </c>
      <c r="E44" s="1"/>
      <c r="F44" s="1"/>
      <c r="G44" s="1"/>
    </row>
    <row r="45" spans="1:10">
      <c r="A45" s="1">
        <v>57</v>
      </c>
      <c r="B45" s="1" t="s">
        <v>517</v>
      </c>
      <c r="C45" s="1" t="s">
        <v>151</v>
      </c>
      <c r="E45" s="1"/>
      <c r="F45" s="1"/>
      <c r="G45" s="1"/>
    </row>
    <row r="46" spans="1:10">
      <c r="A46" s="1">
        <v>56</v>
      </c>
      <c r="B46" s="1" t="s">
        <v>517</v>
      </c>
      <c r="C46" s="1" t="s">
        <v>151</v>
      </c>
      <c r="E46" s="1"/>
      <c r="F46" s="1"/>
      <c r="G46" s="1"/>
    </row>
    <row r="47" spans="1:10">
      <c r="A47" s="1">
        <v>55</v>
      </c>
      <c r="B47" s="1" t="s">
        <v>517</v>
      </c>
      <c r="C47" s="1" t="s">
        <v>151</v>
      </c>
      <c r="E47" s="1"/>
      <c r="F47" s="1"/>
      <c r="G47" s="1"/>
    </row>
    <row r="48" spans="1:10">
      <c r="A48" s="1">
        <v>54</v>
      </c>
      <c r="B48" s="1" t="s">
        <v>518</v>
      </c>
      <c r="C48" s="1" t="s">
        <v>519</v>
      </c>
      <c r="E48" s="1"/>
      <c r="F48" s="1"/>
      <c r="G48" s="1"/>
    </row>
    <row r="49" spans="1:7">
      <c r="A49" s="1">
        <v>53</v>
      </c>
      <c r="B49" s="1" t="s">
        <v>518</v>
      </c>
      <c r="C49" s="1" t="s">
        <v>519</v>
      </c>
      <c r="E49" s="1"/>
      <c r="F49" s="1"/>
      <c r="G49" s="1"/>
    </row>
    <row r="50" spans="1:7">
      <c r="A50" s="1">
        <v>52</v>
      </c>
      <c r="B50" s="1" t="s">
        <v>518</v>
      </c>
      <c r="C50" s="1" t="s">
        <v>519</v>
      </c>
      <c r="E50" s="1"/>
      <c r="F50" s="1"/>
      <c r="G50" s="1"/>
    </row>
    <row r="51" spans="1:7">
      <c r="A51" s="1">
        <v>51</v>
      </c>
      <c r="B51" s="1" t="s">
        <v>518</v>
      </c>
      <c r="C51" s="1" t="s">
        <v>519</v>
      </c>
      <c r="E51" s="1"/>
      <c r="F51" s="1"/>
      <c r="G51" s="1"/>
    </row>
    <row r="52" spans="1:7">
      <c r="A52" s="1">
        <v>50</v>
      </c>
      <c r="B52" s="1" t="s">
        <v>518</v>
      </c>
      <c r="C52" s="1" t="s">
        <v>519</v>
      </c>
      <c r="E52" s="1"/>
      <c r="F52" s="1"/>
      <c r="G52" s="1"/>
    </row>
    <row r="53" spans="1:7">
      <c r="A53" s="1">
        <v>49</v>
      </c>
      <c r="B53" s="1" t="s">
        <v>520</v>
      </c>
      <c r="C53" s="1" t="s">
        <v>153</v>
      </c>
      <c r="E53" s="1"/>
      <c r="F53" s="1"/>
      <c r="G53" s="1"/>
    </row>
    <row r="54" spans="1:7">
      <c r="A54" s="1">
        <v>48</v>
      </c>
      <c r="B54" s="1" t="s">
        <v>520</v>
      </c>
      <c r="C54" s="1" t="s">
        <v>153</v>
      </c>
      <c r="E54" s="1"/>
      <c r="F54" s="1"/>
      <c r="G54" s="1"/>
    </row>
    <row r="55" spans="1:7">
      <c r="A55" s="1">
        <v>47</v>
      </c>
      <c r="B55" s="1" t="s">
        <v>520</v>
      </c>
      <c r="C55" s="1" t="s">
        <v>153</v>
      </c>
      <c r="E55" s="1"/>
      <c r="F55" s="1"/>
      <c r="G55" s="1"/>
    </row>
    <row r="56" spans="1:7">
      <c r="A56" s="1">
        <v>46</v>
      </c>
      <c r="B56" s="1" t="s">
        <v>520</v>
      </c>
      <c r="C56" s="1" t="s">
        <v>153</v>
      </c>
      <c r="E56" s="1"/>
      <c r="F56" s="1"/>
      <c r="G56" s="1"/>
    </row>
    <row r="57" spans="1:7">
      <c r="A57" s="1">
        <v>45</v>
      </c>
      <c r="B57" s="1" t="s">
        <v>520</v>
      </c>
      <c r="C57" s="1" t="s">
        <v>153</v>
      </c>
      <c r="E57" s="1"/>
      <c r="F57" s="1"/>
      <c r="G57" s="1"/>
    </row>
    <row r="58" spans="1:7">
      <c r="A58" s="1">
        <v>44</v>
      </c>
      <c r="B58" s="1" t="s">
        <v>521</v>
      </c>
      <c r="C58" s="1" t="s">
        <v>111</v>
      </c>
      <c r="E58" s="1"/>
      <c r="F58" s="1"/>
      <c r="G58" s="1"/>
    </row>
    <row r="59" spans="1:7">
      <c r="A59" s="1">
        <v>43</v>
      </c>
      <c r="B59" s="1" t="s">
        <v>521</v>
      </c>
      <c r="C59" s="1" t="s">
        <v>111</v>
      </c>
      <c r="E59" s="1"/>
      <c r="F59" s="1"/>
      <c r="G59" s="1"/>
    </row>
    <row r="60" spans="1:7">
      <c r="A60" s="1">
        <v>42</v>
      </c>
      <c r="B60" s="1" t="s">
        <v>521</v>
      </c>
      <c r="C60" s="1" t="s">
        <v>111</v>
      </c>
      <c r="E60" s="1"/>
      <c r="F60" s="1"/>
      <c r="G60" s="1"/>
    </row>
    <row r="61" spans="1:7">
      <c r="A61" s="1">
        <v>41</v>
      </c>
      <c r="B61" s="1" t="s">
        <v>521</v>
      </c>
      <c r="C61" s="1" t="s">
        <v>111</v>
      </c>
      <c r="E61" s="1"/>
      <c r="F61" s="1"/>
      <c r="G61" s="1"/>
    </row>
    <row r="62" spans="1:7">
      <c r="A62" s="1">
        <v>40</v>
      </c>
      <c r="B62" s="1" t="s">
        <v>521</v>
      </c>
      <c r="C62" s="1" t="s">
        <v>111</v>
      </c>
      <c r="E62" s="1"/>
      <c r="F62" s="1"/>
      <c r="G62" s="1"/>
    </row>
    <row r="63" spans="1:7">
      <c r="A63" s="1">
        <v>39</v>
      </c>
      <c r="B63" s="1" t="s">
        <v>156</v>
      </c>
      <c r="C63" s="1" t="s">
        <v>24</v>
      </c>
      <c r="E63" s="1"/>
      <c r="F63" s="1"/>
      <c r="G63" s="1"/>
    </row>
    <row r="64" spans="1:7">
      <c r="A64" s="1">
        <v>38</v>
      </c>
      <c r="B64" s="1" t="s">
        <v>156</v>
      </c>
      <c r="C64" s="1" t="s">
        <v>24</v>
      </c>
      <c r="E64" s="1"/>
      <c r="F64" s="1"/>
      <c r="G64" s="1"/>
    </row>
    <row r="65" spans="1:7">
      <c r="A65" s="1">
        <v>37</v>
      </c>
      <c r="B65" s="1" t="s">
        <v>156</v>
      </c>
      <c r="C65" s="1" t="s">
        <v>24</v>
      </c>
      <c r="E65" s="1"/>
      <c r="F65" s="1"/>
      <c r="G65" s="1"/>
    </row>
    <row r="66" spans="1:7">
      <c r="A66" s="1">
        <v>36</v>
      </c>
      <c r="B66" s="1" t="s">
        <v>156</v>
      </c>
      <c r="C66" s="1" t="s">
        <v>24</v>
      </c>
      <c r="E66" s="1"/>
      <c r="F66" s="1"/>
      <c r="G66" s="1"/>
    </row>
    <row r="67" spans="1:7">
      <c r="A67" s="1">
        <v>35</v>
      </c>
      <c r="B67" s="1" t="s">
        <v>156</v>
      </c>
      <c r="C67" s="1" t="s">
        <v>24</v>
      </c>
      <c r="E67" s="1"/>
      <c r="F67" s="1"/>
      <c r="G67" s="1"/>
    </row>
    <row r="68" spans="1:7">
      <c r="A68" s="1">
        <v>34</v>
      </c>
      <c r="B68" s="1" t="s">
        <v>522</v>
      </c>
      <c r="C68" s="1" t="s">
        <v>20</v>
      </c>
      <c r="E68" s="1"/>
      <c r="F68" s="1"/>
      <c r="G68" s="1"/>
    </row>
    <row r="69" spans="1:7">
      <c r="A69" s="1">
        <v>33</v>
      </c>
      <c r="B69" s="1" t="s">
        <v>522</v>
      </c>
      <c r="C69" s="1" t="s">
        <v>20</v>
      </c>
      <c r="E69" s="1"/>
      <c r="F69" s="1"/>
      <c r="G69" s="1"/>
    </row>
    <row r="70" spans="1:7">
      <c r="A70" s="1">
        <v>32</v>
      </c>
      <c r="B70" s="1" t="s">
        <v>522</v>
      </c>
      <c r="C70" s="1" t="s">
        <v>20</v>
      </c>
      <c r="E70" s="1"/>
      <c r="F70" s="1"/>
      <c r="G70" s="1"/>
    </row>
    <row r="71" spans="1:7">
      <c r="A71" s="1">
        <v>31</v>
      </c>
      <c r="B71" s="1" t="s">
        <v>522</v>
      </c>
      <c r="C71" s="1" t="s">
        <v>20</v>
      </c>
      <c r="E71" s="1"/>
      <c r="F71" s="1"/>
      <c r="G71" s="1"/>
    </row>
    <row r="72" spans="1:7">
      <c r="A72" s="1">
        <v>30</v>
      </c>
      <c r="B72" s="1" t="s">
        <v>522</v>
      </c>
      <c r="C72" s="1" t="s">
        <v>20</v>
      </c>
      <c r="E72" s="1"/>
      <c r="F72" s="1"/>
      <c r="G72" s="1"/>
    </row>
    <row r="73" spans="1:7">
      <c r="A73" s="1">
        <v>29</v>
      </c>
      <c r="B73" s="1" t="s">
        <v>29</v>
      </c>
      <c r="C73" s="1" t="s">
        <v>14</v>
      </c>
      <c r="E73" s="1"/>
      <c r="F73" s="1"/>
      <c r="G73" s="1"/>
    </row>
    <row r="74" spans="1:7">
      <c r="A74" s="1">
        <v>28</v>
      </c>
      <c r="B74" s="1" t="s">
        <v>29</v>
      </c>
      <c r="C74" s="1" t="s">
        <v>14</v>
      </c>
      <c r="E74" s="1"/>
      <c r="F74" s="1"/>
      <c r="G74" s="1"/>
    </row>
    <row r="75" spans="1:7">
      <c r="A75" s="1">
        <v>27</v>
      </c>
      <c r="B75" s="1" t="s">
        <v>29</v>
      </c>
      <c r="C75" s="1" t="s">
        <v>14</v>
      </c>
      <c r="E75" s="1"/>
      <c r="F75" s="1"/>
      <c r="G75" s="1"/>
    </row>
    <row r="76" spans="1:7">
      <c r="A76" s="1">
        <v>26</v>
      </c>
      <c r="B76" s="1" t="s">
        <v>29</v>
      </c>
      <c r="C76" s="1" t="s">
        <v>14</v>
      </c>
      <c r="E76" s="1"/>
      <c r="F76" s="1"/>
      <c r="G76" s="1"/>
    </row>
    <row r="77" spans="1:7">
      <c r="A77" s="1">
        <v>25</v>
      </c>
      <c r="B77" s="1" t="s">
        <v>29</v>
      </c>
      <c r="C77" s="1" t="s">
        <v>14</v>
      </c>
      <c r="E77" s="1"/>
      <c r="F77" s="1"/>
      <c r="G77" s="1"/>
    </row>
    <row r="78" spans="1:7">
      <c r="A78" s="1">
        <v>24</v>
      </c>
      <c r="B78" s="1" t="s">
        <v>29</v>
      </c>
      <c r="C78" s="1" t="s">
        <v>14</v>
      </c>
      <c r="E78" s="1"/>
      <c r="F78" s="1"/>
      <c r="G78" s="1"/>
    </row>
    <row r="79" spans="1:7">
      <c r="A79" s="1">
        <v>23</v>
      </c>
      <c r="B79" s="1" t="s">
        <v>75</v>
      </c>
      <c r="C79" s="1" t="s">
        <v>13</v>
      </c>
      <c r="E79" s="1"/>
      <c r="F79" s="1"/>
      <c r="G79" s="1"/>
    </row>
    <row r="80" spans="1:7">
      <c r="A80" s="1">
        <v>22</v>
      </c>
      <c r="B80" s="1" t="s">
        <v>9</v>
      </c>
      <c r="C80" s="1" t="s">
        <v>15</v>
      </c>
      <c r="E80" s="1"/>
      <c r="F80" s="1"/>
      <c r="G80" s="1"/>
    </row>
    <row r="81" spans="1:7">
      <c r="A81" s="1">
        <v>21</v>
      </c>
      <c r="B81" s="1" t="s">
        <v>34</v>
      </c>
      <c r="C81" s="1" t="s">
        <v>18</v>
      </c>
      <c r="E81" s="1"/>
      <c r="F81" s="1"/>
      <c r="G81" s="1"/>
    </row>
    <row r="82" spans="1:7">
      <c r="A82" s="1">
        <v>20</v>
      </c>
      <c r="B82" s="1" t="s">
        <v>30</v>
      </c>
      <c r="C82" s="1" t="s">
        <v>16</v>
      </c>
      <c r="E82" s="1"/>
      <c r="F82" s="1"/>
      <c r="G82" s="1"/>
    </row>
    <row r="83" spans="1:7">
      <c r="A83" s="1">
        <v>19</v>
      </c>
      <c r="B83" s="1" t="s">
        <v>27</v>
      </c>
      <c r="C83" s="1" t="s">
        <v>23</v>
      </c>
      <c r="E83" s="1"/>
      <c r="F83" s="1"/>
      <c r="G83" s="1"/>
    </row>
    <row r="84" spans="1:7">
      <c r="A84" s="1">
        <v>18</v>
      </c>
      <c r="B84" s="1" t="s">
        <v>28</v>
      </c>
      <c r="C84" s="1" t="s">
        <v>17</v>
      </c>
      <c r="E84" s="1"/>
      <c r="F84" s="1"/>
      <c r="G84" s="1"/>
    </row>
    <row r="85" spans="1:7">
      <c r="A85" s="1">
        <v>17</v>
      </c>
      <c r="B85" s="1" t="s">
        <v>36</v>
      </c>
      <c r="C85" s="1" t="s">
        <v>19</v>
      </c>
      <c r="E85" s="1"/>
      <c r="F85" s="1"/>
      <c r="G85" s="1"/>
    </row>
    <row r="86" spans="1:7">
      <c r="A86" s="1">
        <v>16</v>
      </c>
      <c r="B86" s="1" t="s">
        <v>33</v>
      </c>
      <c r="C86" s="1" t="s">
        <v>7</v>
      </c>
      <c r="E86" s="1"/>
      <c r="F86" s="1"/>
      <c r="G86" s="1"/>
    </row>
    <row r="87" spans="1:7">
      <c r="A87" s="1">
        <v>15</v>
      </c>
      <c r="B87" s="1" t="s">
        <v>45</v>
      </c>
      <c r="C87" s="1" t="s">
        <v>25</v>
      </c>
      <c r="E87" s="1"/>
      <c r="F87" s="1"/>
      <c r="G87" s="1"/>
    </row>
    <row r="88" spans="1:7">
      <c r="A88" s="1">
        <v>14</v>
      </c>
      <c r="B88" s="1" t="s">
        <v>41</v>
      </c>
      <c r="C88" s="1" t="s">
        <v>6</v>
      </c>
      <c r="E88" s="1"/>
      <c r="F88" s="1"/>
      <c r="G88" s="1"/>
    </row>
    <row r="89" spans="1:7">
      <c r="A89" s="1">
        <v>13</v>
      </c>
      <c r="B89" s="1" t="s">
        <v>10</v>
      </c>
      <c r="C89" s="1" t="s">
        <v>115</v>
      </c>
      <c r="E89" s="1"/>
      <c r="F89" s="1"/>
      <c r="G89" s="1"/>
    </row>
    <row r="90" spans="1:7">
      <c r="A90" s="1">
        <v>12</v>
      </c>
      <c r="B90" s="1" t="s">
        <v>11</v>
      </c>
      <c r="C90" s="1" t="s">
        <v>523</v>
      </c>
      <c r="E90" s="1"/>
      <c r="F90" s="1"/>
      <c r="G90" s="1"/>
    </row>
    <row r="91" spans="1:7">
      <c r="A91" s="1">
        <v>11</v>
      </c>
      <c r="B91" s="1" t="s">
        <v>12</v>
      </c>
      <c r="C91" s="1" t="s">
        <v>8</v>
      </c>
      <c r="E91" s="1"/>
      <c r="F91" s="1"/>
      <c r="G91" s="1"/>
    </row>
    <row r="92" spans="1:7">
      <c r="A92" s="1">
        <v>10</v>
      </c>
      <c r="B92" s="1" t="s">
        <v>524</v>
      </c>
      <c r="C92" s="1" t="s">
        <v>525</v>
      </c>
      <c r="E92" s="1"/>
      <c r="F92" s="1"/>
      <c r="G92" s="1"/>
    </row>
    <row r="93" spans="1:7">
      <c r="A93" s="1">
        <v>9</v>
      </c>
      <c r="B93" s="1" t="s">
        <v>526</v>
      </c>
      <c r="C93" s="1" t="s">
        <v>527</v>
      </c>
      <c r="E93" s="1"/>
      <c r="F93" s="1"/>
      <c r="G93" s="1"/>
    </row>
    <row r="94" spans="1:7">
      <c r="A94" s="1">
        <v>8</v>
      </c>
      <c r="B94" s="1" t="s">
        <v>528</v>
      </c>
      <c r="C94" s="1" t="s">
        <v>529</v>
      </c>
      <c r="E94" s="1"/>
      <c r="F94" s="1"/>
      <c r="G94" s="1"/>
    </row>
    <row r="95" spans="1:7">
      <c r="A95" s="1">
        <v>7</v>
      </c>
      <c r="B95" s="1" t="s">
        <v>528</v>
      </c>
      <c r="C95" s="1" t="s">
        <v>529</v>
      </c>
      <c r="E95" s="1"/>
      <c r="F95" s="1"/>
      <c r="G95" s="1"/>
    </row>
    <row r="96" spans="1:7">
      <c r="A96" s="1">
        <v>6</v>
      </c>
      <c r="B96" s="1" t="s">
        <v>528</v>
      </c>
      <c r="C96" s="1" t="s">
        <v>529</v>
      </c>
      <c r="E96" s="1"/>
      <c r="F96" s="1"/>
      <c r="G96" s="1"/>
    </row>
    <row r="97" spans="1:7">
      <c r="A97" s="1">
        <v>5</v>
      </c>
      <c r="B97" s="1" t="s">
        <v>528</v>
      </c>
      <c r="C97" s="1" t="s">
        <v>529</v>
      </c>
      <c r="E97" s="1"/>
      <c r="F97" s="1"/>
      <c r="G97" s="1"/>
    </row>
    <row r="98" spans="1:7">
      <c r="A98" s="1">
        <v>4</v>
      </c>
      <c r="B98" s="1" t="s">
        <v>528</v>
      </c>
      <c r="C98" s="1" t="s">
        <v>529</v>
      </c>
      <c r="E98" s="1"/>
      <c r="F98" s="1"/>
      <c r="G98" s="1"/>
    </row>
    <row r="99" spans="1:7">
      <c r="A99" s="1">
        <v>3</v>
      </c>
      <c r="B99" s="1" t="s">
        <v>528</v>
      </c>
      <c r="C99" s="1" t="s">
        <v>529</v>
      </c>
      <c r="E99" s="1"/>
      <c r="F99" s="1"/>
      <c r="G99" s="1"/>
    </row>
    <row r="100" spans="1:7">
      <c r="A100" s="1">
        <v>2</v>
      </c>
      <c r="B100" s="1" t="s">
        <v>528</v>
      </c>
      <c r="C100" s="1" t="s">
        <v>529</v>
      </c>
      <c r="E100" s="1"/>
      <c r="F100" s="1"/>
      <c r="G100" s="1"/>
    </row>
    <row r="101" spans="1:7">
      <c r="A101" s="1">
        <v>1</v>
      </c>
      <c r="B101" s="1" t="s">
        <v>528</v>
      </c>
      <c r="C101" s="1" t="s">
        <v>529</v>
      </c>
      <c r="E101" s="1"/>
      <c r="F101" s="1"/>
      <c r="G101" s="1"/>
    </row>
    <row r="102" spans="1:7">
      <c r="B102" s="1"/>
      <c r="E102" s="1"/>
      <c r="F102" s="1"/>
      <c r="G102" s="1"/>
    </row>
    <row r="103" spans="1:7">
      <c r="B103" s="1"/>
      <c r="E103" s="1"/>
      <c r="F103" s="1"/>
      <c r="G103" s="1"/>
    </row>
    <row r="104" spans="1:7">
      <c r="B104" s="1"/>
      <c r="E104" s="1"/>
      <c r="F104" s="1"/>
      <c r="G104" s="1"/>
    </row>
    <row r="105" spans="1:7">
      <c r="B105" s="1"/>
      <c r="E105" s="1"/>
      <c r="F105" s="1"/>
      <c r="G105" s="1"/>
    </row>
    <row r="106" spans="1:7">
      <c r="B106" s="1"/>
      <c r="E106" s="1"/>
      <c r="F106" s="1"/>
      <c r="G106" s="1"/>
    </row>
    <row r="107" spans="1:7">
      <c r="B107" s="1"/>
      <c r="E107" s="1"/>
      <c r="F107" s="1"/>
      <c r="G107" s="1"/>
    </row>
    <row r="108" spans="1:7">
      <c r="B108" s="1"/>
      <c r="E108" s="1"/>
      <c r="F108" s="1"/>
      <c r="G108" s="1"/>
    </row>
    <row r="109" spans="1:7">
      <c r="B109" s="1"/>
      <c r="E109" s="1"/>
      <c r="F109" s="1"/>
      <c r="G109" s="1"/>
    </row>
    <row r="110" spans="1:7">
      <c r="B110" s="1"/>
      <c r="E110" s="1"/>
      <c r="F110" s="1"/>
      <c r="G110" s="1"/>
    </row>
    <row r="111" spans="1:7">
      <c r="B111" s="1"/>
      <c r="E111" s="1"/>
      <c r="F111" s="1"/>
      <c r="G111" s="1"/>
    </row>
    <row r="112" spans="1:7">
      <c r="B112" s="1"/>
      <c r="E112" s="1"/>
      <c r="F112" s="1"/>
      <c r="G112" s="1"/>
    </row>
    <row r="113" spans="2:7">
      <c r="B113" s="1"/>
      <c r="E113" s="1"/>
      <c r="F113" s="1"/>
      <c r="G113" s="1"/>
    </row>
    <row r="114" spans="2:7">
      <c r="B114" s="1"/>
      <c r="E114" s="1"/>
      <c r="F114" s="1"/>
      <c r="G114" s="1"/>
    </row>
    <row r="115" spans="2:7">
      <c r="B115" s="1"/>
      <c r="E115" s="1"/>
      <c r="F115" s="1"/>
      <c r="G115" s="1"/>
    </row>
    <row r="116" spans="2:7">
      <c r="B116" s="1"/>
      <c r="E116" s="1"/>
      <c r="F116" s="1"/>
      <c r="G116" s="1"/>
    </row>
    <row r="117" spans="2:7">
      <c r="B117" s="1"/>
      <c r="E117" s="1"/>
      <c r="F117" s="1"/>
      <c r="G117" s="1"/>
    </row>
    <row r="118" spans="2:7">
      <c r="B118" s="1"/>
      <c r="E118" s="1"/>
      <c r="F118" s="1"/>
      <c r="G118" s="1"/>
    </row>
    <row r="119" spans="2:7">
      <c r="B119" s="1"/>
      <c r="E119" s="1"/>
      <c r="F119" s="1"/>
      <c r="G119" s="1"/>
    </row>
    <row r="120" spans="2:7">
      <c r="B120" s="1"/>
      <c r="E120" s="1"/>
      <c r="F120" s="1"/>
      <c r="G120" s="1"/>
    </row>
    <row r="121" spans="2:7">
      <c r="B121" s="1"/>
      <c r="E121" s="1"/>
      <c r="F121" s="1"/>
      <c r="G121" s="1"/>
    </row>
    <row r="122" spans="2:7">
      <c r="B122" s="1"/>
      <c r="E122" s="1"/>
      <c r="F122" s="1"/>
      <c r="G122" s="1"/>
    </row>
    <row r="123" spans="2:7">
      <c r="B123" s="1"/>
      <c r="E123" s="1"/>
      <c r="F123" s="1"/>
      <c r="G123" s="1"/>
    </row>
    <row r="124" spans="2:7">
      <c r="B124" s="1"/>
      <c r="E124" s="1"/>
      <c r="F124" s="1"/>
      <c r="G124" s="1"/>
    </row>
    <row r="125" spans="2:7">
      <c r="B125" s="1"/>
      <c r="E125" s="1"/>
      <c r="F125" s="1"/>
      <c r="G125" s="1"/>
    </row>
    <row r="126" spans="2:7">
      <c r="B126" s="1"/>
      <c r="E126" s="1"/>
      <c r="F126" s="1"/>
      <c r="G126" s="1"/>
    </row>
    <row r="127" spans="2:7">
      <c r="B127" s="1"/>
      <c r="E127" s="1"/>
      <c r="F127" s="1"/>
      <c r="G127" s="1"/>
    </row>
    <row r="128" spans="2:7">
      <c r="B128" s="1"/>
      <c r="E128" s="1"/>
      <c r="F128" s="1"/>
      <c r="G128" s="1"/>
    </row>
    <row r="129" spans="2:7">
      <c r="B129" s="1"/>
      <c r="E129" s="1"/>
      <c r="F129" s="1"/>
      <c r="G129" s="1"/>
    </row>
    <row r="130" spans="2:7">
      <c r="B130" s="1"/>
      <c r="E130" s="1"/>
      <c r="F130" s="1"/>
      <c r="G130" s="1"/>
    </row>
    <row r="131" spans="2:7">
      <c r="B131" s="1"/>
      <c r="E131" s="1"/>
      <c r="F131" s="1"/>
      <c r="G131" s="1"/>
    </row>
    <row r="132" spans="2:7">
      <c r="B132" s="1"/>
      <c r="E132" s="1"/>
      <c r="F132" s="1"/>
      <c r="G132" s="1"/>
    </row>
    <row r="133" spans="2:7">
      <c r="B133" s="1"/>
      <c r="E133" s="1"/>
      <c r="F133" s="1"/>
      <c r="G133" s="1"/>
    </row>
    <row r="134" spans="2:7">
      <c r="B134" s="1"/>
      <c r="E134" s="1"/>
      <c r="F134" s="1"/>
      <c r="G134" s="1"/>
    </row>
    <row r="135" spans="2:7">
      <c r="B135" s="1"/>
      <c r="E135" s="1"/>
      <c r="F135" s="1"/>
      <c r="G135" s="1"/>
    </row>
    <row r="136" spans="2:7">
      <c r="B136" s="1"/>
      <c r="E136" s="1"/>
      <c r="F136" s="1"/>
      <c r="G136" s="1"/>
    </row>
    <row r="137" spans="2:7">
      <c r="B137" s="1"/>
      <c r="E137" s="1"/>
      <c r="F137" s="1"/>
      <c r="G137" s="1"/>
    </row>
    <row r="138" spans="2:7">
      <c r="B138" s="1"/>
      <c r="E138" s="1"/>
      <c r="F138" s="1"/>
      <c r="G138" s="1"/>
    </row>
    <row r="139" spans="2:7">
      <c r="B139" s="1"/>
      <c r="E139" s="1"/>
      <c r="F139" s="1"/>
      <c r="G139" s="1"/>
    </row>
    <row r="140" spans="2:7">
      <c r="B140" s="1"/>
      <c r="E140" s="1"/>
      <c r="F140" s="1"/>
      <c r="G140" s="1"/>
    </row>
    <row r="141" spans="2:7">
      <c r="B141" s="1"/>
      <c r="E141" s="1"/>
      <c r="F141" s="1"/>
      <c r="G141" s="1"/>
    </row>
    <row r="142" spans="2:7">
      <c r="B142" s="1"/>
      <c r="E142" s="1"/>
      <c r="F142" s="1"/>
      <c r="G142" s="1"/>
    </row>
    <row r="143" spans="2:7">
      <c r="B143" s="1"/>
      <c r="E143" s="1"/>
      <c r="F143" s="1"/>
      <c r="G143" s="1"/>
    </row>
    <row r="144" spans="2:7">
      <c r="B144" s="1"/>
      <c r="E144" s="1"/>
      <c r="F144" s="1"/>
      <c r="G144" s="1"/>
    </row>
    <row r="145" spans="2:7">
      <c r="B145" s="1"/>
      <c r="E145" s="1"/>
      <c r="F145" s="1"/>
      <c r="G145" s="1"/>
    </row>
    <row r="146" spans="2:7">
      <c r="B146" s="1"/>
      <c r="E146" s="1"/>
      <c r="F146" s="1"/>
      <c r="G146" s="1"/>
    </row>
    <row r="147" spans="2:7">
      <c r="B147" s="1"/>
      <c r="E147" s="1"/>
      <c r="F147" s="1"/>
      <c r="G147" s="1"/>
    </row>
    <row r="148" spans="2:7">
      <c r="B148" s="1"/>
      <c r="E148" s="1"/>
      <c r="F148" s="1"/>
      <c r="G148" s="1"/>
    </row>
    <row r="149" spans="2:7">
      <c r="B149" s="1"/>
      <c r="E149" s="1"/>
      <c r="F149" s="1"/>
      <c r="G149" s="1"/>
    </row>
    <row r="150" spans="2:7">
      <c r="B150" s="1"/>
      <c r="E150" s="1"/>
      <c r="F150" s="1"/>
      <c r="G150" s="1"/>
    </row>
    <row r="151" spans="2:7">
      <c r="B151" s="1"/>
      <c r="E151" s="1"/>
      <c r="F151" s="1"/>
      <c r="G151" s="1"/>
    </row>
    <row r="152" spans="2:7">
      <c r="B152" s="1"/>
      <c r="E152" s="1"/>
      <c r="F152" s="1"/>
      <c r="G152" s="1"/>
    </row>
    <row r="153" spans="2:7">
      <c r="B153" s="1"/>
      <c r="E153" s="1"/>
      <c r="F153" s="1"/>
      <c r="G153" s="1"/>
    </row>
    <row r="154" spans="2:7">
      <c r="B154" s="1"/>
      <c r="E154" s="1"/>
      <c r="F154" s="1"/>
      <c r="G154" s="1"/>
    </row>
    <row r="155" spans="2:7">
      <c r="B155" s="1"/>
      <c r="E155" s="1"/>
      <c r="F155" s="1"/>
      <c r="G155" s="1"/>
    </row>
    <row r="156" spans="2:7">
      <c r="B156" s="1"/>
      <c r="E156" s="1"/>
      <c r="F156" s="1"/>
      <c r="G156" s="1"/>
    </row>
    <row r="157" spans="2:7">
      <c r="B157" s="1"/>
      <c r="E157" s="1"/>
      <c r="F157" s="1"/>
      <c r="G157" s="1"/>
    </row>
    <row r="158" spans="2:7">
      <c r="B158" s="1"/>
      <c r="E158" s="1"/>
      <c r="F158" s="1"/>
      <c r="G158" s="1"/>
    </row>
    <row r="159" spans="2:7">
      <c r="B159" s="1"/>
      <c r="E159" s="1"/>
      <c r="F159" s="1"/>
      <c r="G159" s="1"/>
    </row>
    <row r="160" spans="2:7">
      <c r="B160" s="1"/>
      <c r="E160" s="1"/>
      <c r="F160" s="1"/>
      <c r="G160" s="1"/>
    </row>
    <row r="161" spans="2:7">
      <c r="B161" s="1"/>
      <c r="E161" s="1"/>
      <c r="F161" s="1"/>
      <c r="G161" s="1"/>
    </row>
    <row r="162" spans="2:7">
      <c r="B162" s="1"/>
      <c r="E162" s="1"/>
      <c r="F162" s="1"/>
      <c r="G162" s="1"/>
    </row>
    <row r="163" spans="2:7">
      <c r="B163" s="1"/>
      <c r="E163" s="1"/>
      <c r="F163" s="1"/>
      <c r="G163" s="1"/>
    </row>
    <row r="164" spans="2:7">
      <c r="B164" s="1"/>
      <c r="E164" s="1"/>
      <c r="F164" s="1"/>
      <c r="G164" s="1"/>
    </row>
    <row r="165" spans="2:7">
      <c r="B165" s="1"/>
      <c r="E165" s="1"/>
      <c r="F165" s="1"/>
      <c r="G165" s="1"/>
    </row>
    <row r="166" spans="2:7">
      <c r="B166" s="1"/>
      <c r="E166" s="1"/>
      <c r="F166" s="1"/>
      <c r="G166" s="1"/>
    </row>
    <row r="167" spans="2:7">
      <c r="B167" s="1"/>
      <c r="E167" s="1"/>
      <c r="F167" s="1"/>
      <c r="G167" s="1"/>
    </row>
    <row r="168" spans="2:7">
      <c r="B168" s="1"/>
      <c r="E168" s="1"/>
      <c r="F168" s="1"/>
      <c r="G168" s="1"/>
    </row>
    <row r="169" spans="2:7">
      <c r="B169" s="1"/>
      <c r="E169" s="1"/>
      <c r="F169" s="1"/>
      <c r="G169" s="1"/>
    </row>
    <row r="170" spans="2:7">
      <c r="B170" s="1"/>
      <c r="E170" s="1"/>
      <c r="F170" s="1"/>
      <c r="G170" s="1"/>
    </row>
    <row r="171" spans="2:7">
      <c r="B171" s="1"/>
      <c r="E171" s="1"/>
      <c r="F171" s="1"/>
      <c r="G171" s="1"/>
    </row>
    <row r="172" spans="2:7">
      <c r="B172" s="1"/>
      <c r="E172" s="1"/>
      <c r="F172" s="1"/>
      <c r="G172" s="1"/>
    </row>
    <row r="173" spans="2:7">
      <c r="B173" s="1"/>
      <c r="E173" s="1"/>
      <c r="F173" s="1"/>
      <c r="G173" s="1"/>
    </row>
    <row r="174" spans="2:7">
      <c r="B174" s="1"/>
      <c r="E174" s="1"/>
      <c r="F174" s="1"/>
      <c r="G174" s="1"/>
    </row>
    <row r="175" spans="2:7">
      <c r="B175" s="1"/>
      <c r="E175" s="1"/>
      <c r="F175" s="1"/>
      <c r="G175" s="1"/>
    </row>
    <row r="176" spans="2:7">
      <c r="B176" s="1"/>
      <c r="E176" s="1"/>
      <c r="F176" s="1"/>
      <c r="G176" s="1"/>
    </row>
    <row r="177" spans="2:7">
      <c r="B177" s="1"/>
      <c r="E177" s="1"/>
      <c r="F177" s="1"/>
      <c r="G177" s="1"/>
    </row>
    <row r="178" spans="2:7">
      <c r="B178" s="1"/>
      <c r="E178" s="1"/>
      <c r="F178" s="1"/>
      <c r="G178" s="1"/>
    </row>
    <row r="179" spans="2:7">
      <c r="B179" s="1"/>
      <c r="E179" s="1"/>
      <c r="F179" s="1"/>
      <c r="G179" s="1"/>
    </row>
    <row r="180" spans="2:7">
      <c r="B180" s="1"/>
      <c r="E180" s="1"/>
      <c r="F180" s="1"/>
      <c r="G180" s="1"/>
    </row>
    <row r="181" spans="2:7">
      <c r="B181" s="1"/>
      <c r="E181" s="1"/>
      <c r="F181" s="1"/>
      <c r="G181" s="1"/>
    </row>
    <row r="182" spans="2:7">
      <c r="B182" s="1"/>
      <c r="E182" s="1"/>
      <c r="F182" s="1"/>
      <c r="G182" s="1"/>
    </row>
    <row r="183" spans="2:7">
      <c r="B183" s="1"/>
      <c r="E183" s="1"/>
      <c r="F183" s="1"/>
      <c r="G183" s="1"/>
    </row>
    <row r="184" spans="2:7">
      <c r="B184" s="1"/>
      <c r="E184" s="1"/>
      <c r="F184" s="1"/>
      <c r="G184" s="1"/>
    </row>
    <row r="185" spans="2:7">
      <c r="B185" s="1"/>
      <c r="E185" s="1"/>
      <c r="F185" s="1"/>
      <c r="G185" s="1"/>
    </row>
    <row r="186" spans="2:7">
      <c r="B186" s="1"/>
      <c r="E186" s="1"/>
      <c r="F186" s="1"/>
      <c r="G186" s="1"/>
    </row>
    <row r="187" spans="2:7">
      <c r="B187" s="1"/>
      <c r="E187" s="1"/>
      <c r="F187" s="1"/>
      <c r="G187" s="1"/>
    </row>
    <row r="188" spans="2:7">
      <c r="B188" s="1"/>
      <c r="E188" s="1"/>
      <c r="F188" s="1"/>
      <c r="G188" s="1"/>
    </row>
    <row r="189" spans="2:7">
      <c r="B189" s="1"/>
      <c r="E189" s="1"/>
      <c r="F189" s="1"/>
      <c r="G189" s="1"/>
    </row>
    <row r="190" spans="2:7">
      <c r="B190" s="1"/>
      <c r="E190" s="1"/>
      <c r="F190" s="1"/>
      <c r="G190" s="1"/>
    </row>
    <row r="191" spans="2:7">
      <c r="B191" s="1"/>
      <c r="E191" s="1"/>
      <c r="F191" s="1"/>
      <c r="G191" s="1"/>
    </row>
    <row r="192" spans="2:7">
      <c r="B192" s="1"/>
      <c r="E192" s="1"/>
      <c r="F192" s="1"/>
      <c r="G192" s="1"/>
    </row>
    <row r="193" spans="2:7">
      <c r="B193" s="1"/>
      <c r="E193" s="1"/>
      <c r="F193" s="1"/>
      <c r="G193" s="1"/>
    </row>
    <row r="194" spans="2:7">
      <c r="B194" s="1"/>
      <c r="E194" s="1"/>
      <c r="F194" s="1"/>
      <c r="G194" s="1"/>
    </row>
    <row r="195" spans="2:7">
      <c r="B195" s="1"/>
      <c r="E195" s="1"/>
      <c r="F195" s="1"/>
      <c r="G195" s="1"/>
    </row>
    <row r="196" spans="2:7">
      <c r="B196" s="1"/>
      <c r="E196" s="1"/>
      <c r="F196" s="1"/>
      <c r="G196" s="1"/>
    </row>
    <row r="197" spans="2:7">
      <c r="B197" s="1"/>
      <c r="E197" s="1"/>
      <c r="F197" s="1"/>
      <c r="G197" s="1"/>
    </row>
    <row r="198" spans="2:7">
      <c r="B198" s="1"/>
      <c r="E198" s="1"/>
      <c r="F198" s="1"/>
      <c r="G198" s="1"/>
    </row>
    <row r="199" spans="2:7">
      <c r="B199" s="1"/>
      <c r="E199" s="1"/>
      <c r="F199" s="1"/>
      <c r="G199" s="1"/>
    </row>
    <row r="200" spans="2:7">
      <c r="B200" s="1"/>
      <c r="E200" s="1"/>
      <c r="F200" s="1"/>
      <c r="G200" s="1"/>
    </row>
    <row r="201" spans="2:7">
      <c r="B201" s="1"/>
      <c r="E201" s="1"/>
      <c r="F201" s="1"/>
      <c r="G201" s="1"/>
    </row>
    <row r="202" spans="2:7">
      <c r="B202" s="1"/>
      <c r="E202" s="1"/>
      <c r="F202" s="1"/>
      <c r="G202" s="1"/>
    </row>
    <row r="203" spans="2:7">
      <c r="B203" s="1"/>
      <c r="E203" s="1"/>
      <c r="F203" s="1"/>
      <c r="G203" s="1"/>
    </row>
    <row r="204" spans="2:7">
      <c r="B204" s="1"/>
      <c r="E204" s="1"/>
      <c r="F204" s="1"/>
      <c r="G204" s="1"/>
    </row>
    <row r="205" spans="2:7">
      <c r="B205" s="1"/>
      <c r="E205" s="1"/>
      <c r="F205" s="1"/>
      <c r="G205" s="1"/>
    </row>
    <row r="206" spans="2:7">
      <c r="B206" s="1"/>
      <c r="E206" s="1"/>
      <c r="F206" s="1"/>
      <c r="G206" s="1"/>
    </row>
    <row r="207" spans="2:7">
      <c r="B207" s="1"/>
      <c r="E207" s="1"/>
      <c r="F207" s="1"/>
      <c r="G207" s="1"/>
    </row>
    <row r="208" spans="2:7">
      <c r="B208" s="1"/>
      <c r="E208" s="1"/>
      <c r="F208" s="1"/>
      <c r="G208" s="1"/>
    </row>
    <row r="209" spans="2:7">
      <c r="B209" s="1"/>
      <c r="E209" s="1"/>
      <c r="F209" s="1"/>
      <c r="G209" s="1"/>
    </row>
    <row r="210" spans="2:7">
      <c r="B210" s="1"/>
      <c r="E210" s="1"/>
      <c r="F210" s="1"/>
      <c r="G210" s="1"/>
    </row>
    <row r="211" spans="2:7">
      <c r="B211" s="1"/>
      <c r="E211" s="1"/>
      <c r="F211" s="1"/>
      <c r="G211" s="1"/>
    </row>
    <row r="212" spans="2:7">
      <c r="B212" s="1"/>
      <c r="E212" s="1"/>
      <c r="F212" s="1"/>
      <c r="G212" s="1"/>
    </row>
    <row r="213" spans="2:7">
      <c r="B213" s="1"/>
      <c r="E213" s="1"/>
      <c r="F213" s="1"/>
      <c r="G213" s="1"/>
    </row>
    <row r="214" spans="2:7">
      <c r="B214" s="1"/>
      <c r="E214" s="1"/>
      <c r="F214" s="1"/>
      <c r="G214" s="1"/>
    </row>
    <row r="215" spans="2:7">
      <c r="B215" s="1"/>
      <c r="E215" s="1"/>
      <c r="F215" s="1"/>
      <c r="G215" s="1"/>
    </row>
    <row r="216" spans="2:7">
      <c r="B216" s="1"/>
      <c r="E216" s="1"/>
      <c r="F216" s="1"/>
      <c r="G216" s="1"/>
    </row>
    <row r="217" spans="2:7">
      <c r="B217" s="1"/>
      <c r="E217" s="1"/>
      <c r="F217" s="1"/>
      <c r="G217" s="1"/>
    </row>
    <row r="218" spans="2:7">
      <c r="B218" s="1"/>
      <c r="E218" s="1"/>
      <c r="F218" s="1"/>
      <c r="G218" s="1"/>
    </row>
    <row r="219" spans="2:7">
      <c r="B219" s="1"/>
      <c r="E219" s="1"/>
      <c r="F219" s="1"/>
      <c r="G219" s="1"/>
    </row>
    <row r="220" spans="2:7">
      <c r="B220" s="1"/>
      <c r="E220" s="1"/>
      <c r="F220" s="1"/>
      <c r="G220" s="1"/>
    </row>
    <row r="221" spans="2:7">
      <c r="B221" s="1"/>
      <c r="E221" s="1"/>
      <c r="F221" s="1"/>
      <c r="G221" s="1"/>
    </row>
    <row r="222" spans="2:7">
      <c r="B222" s="1"/>
      <c r="E222" s="1"/>
      <c r="F222" s="1"/>
      <c r="G222" s="1"/>
    </row>
    <row r="223" spans="2:7">
      <c r="B223" s="1"/>
      <c r="E223" s="1"/>
      <c r="F223" s="1"/>
      <c r="G223" s="1"/>
    </row>
    <row r="224" spans="2:7">
      <c r="B224" s="1"/>
      <c r="E224" s="1"/>
      <c r="F224" s="1"/>
      <c r="G224" s="1"/>
    </row>
    <row r="225" spans="2:7">
      <c r="B225" s="1"/>
      <c r="E225" s="1"/>
      <c r="F225" s="1"/>
      <c r="G225" s="1"/>
    </row>
    <row r="226" spans="2:7">
      <c r="B226" s="1"/>
      <c r="E226" s="1"/>
      <c r="F226" s="1"/>
      <c r="G226" s="1"/>
    </row>
    <row r="227" spans="2:7">
      <c r="B227" s="1"/>
      <c r="E227" s="1"/>
      <c r="F227" s="1"/>
      <c r="G227" s="1"/>
    </row>
    <row r="228" spans="2:7">
      <c r="B228" s="1"/>
      <c r="E228" s="1"/>
      <c r="F228" s="1"/>
      <c r="G228" s="1"/>
    </row>
    <row r="229" spans="2:7">
      <c r="B229" s="1"/>
      <c r="E229" s="1"/>
      <c r="F229" s="1"/>
      <c r="G229" s="1"/>
    </row>
    <row r="230" spans="2:7">
      <c r="B230" s="1"/>
      <c r="E230" s="1"/>
      <c r="F230" s="1"/>
      <c r="G230" s="1"/>
    </row>
    <row r="231" spans="2:7">
      <c r="B231" s="1"/>
      <c r="E231" s="1"/>
      <c r="F231" s="1"/>
      <c r="G231" s="1"/>
    </row>
    <row r="232" spans="2:7">
      <c r="B232" s="1"/>
      <c r="E232" s="1"/>
      <c r="F232" s="1"/>
      <c r="G232" s="1"/>
    </row>
    <row r="233" spans="2:7">
      <c r="B233" s="1"/>
      <c r="E233" s="1"/>
      <c r="F233" s="1"/>
      <c r="G233" s="1"/>
    </row>
    <row r="234" spans="2:7">
      <c r="B234" s="1"/>
      <c r="E234" s="1"/>
      <c r="F234" s="1"/>
      <c r="G234" s="1"/>
    </row>
    <row r="235" spans="2:7">
      <c r="B235" s="1"/>
      <c r="E235" s="1"/>
      <c r="F235" s="1"/>
      <c r="G235" s="1"/>
    </row>
    <row r="236" spans="2:7">
      <c r="B236" s="1"/>
      <c r="E236" s="1"/>
      <c r="F236" s="1"/>
      <c r="G236" s="1"/>
    </row>
    <row r="237" spans="2:7">
      <c r="B237" s="1"/>
      <c r="E237" s="1"/>
      <c r="F237" s="1"/>
      <c r="G237" s="1"/>
    </row>
    <row r="238" spans="2:7">
      <c r="B238" s="1"/>
      <c r="E238" s="1"/>
      <c r="F238" s="1"/>
      <c r="G238" s="1"/>
    </row>
    <row r="239" spans="2:7">
      <c r="B239" s="1"/>
      <c r="E239" s="1"/>
      <c r="F239" s="1"/>
      <c r="G239" s="1"/>
    </row>
    <row r="240" spans="2:7">
      <c r="B240" s="1"/>
      <c r="E240" s="1"/>
      <c r="F240" s="1"/>
      <c r="G240" s="1"/>
    </row>
    <row r="241" spans="2:7">
      <c r="B241" s="1"/>
      <c r="E241" s="1"/>
      <c r="F241" s="1"/>
      <c r="G241" s="1"/>
    </row>
    <row r="242" spans="2:7">
      <c r="B242" s="1"/>
      <c r="E242" s="1"/>
      <c r="F242" s="1"/>
      <c r="G242" s="1"/>
    </row>
    <row r="243" spans="2:7">
      <c r="B243" s="1"/>
      <c r="E243" s="1"/>
      <c r="F243" s="1"/>
      <c r="G243" s="1"/>
    </row>
    <row r="244" spans="2:7">
      <c r="B244" s="1"/>
      <c r="E244" s="1"/>
      <c r="F244" s="1"/>
      <c r="G244" s="1"/>
    </row>
    <row r="245" spans="2:7">
      <c r="B245" s="1"/>
      <c r="E245" s="1"/>
      <c r="F245" s="1"/>
      <c r="G245" s="1"/>
    </row>
    <row r="246" spans="2:7">
      <c r="B246" s="1"/>
      <c r="E246" s="1"/>
      <c r="F246" s="1"/>
      <c r="G246" s="1"/>
    </row>
    <row r="247" spans="2:7">
      <c r="B247" s="1"/>
      <c r="E247" s="1"/>
      <c r="F247" s="1"/>
      <c r="G247" s="1"/>
    </row>
    <row r="248" spans="2:7">
      <c r="B248" s="1"/>
      <c r="E248" s="1"/>
      <c r="F248" s="1"/>
      <c r="G248" s="1"/>
    </row>
    <row r="249" spans="2:7">
      <c r="B249" s="1"/>
      <c r="E249" s="1"/>
      <c r="F249" s="1"/>
      <c r="G249" s="1"/>
    </row>
    <row r="250" spans="2:7">
      <c r="B250" s="1"/>
      <c r="E250" s="1"/>
      <c r="F250" s="1"/>
      <c r="G250" s="1"/>
    </row>
    <row r="251" spans="2:7">
      <c r="B251" s="1"/>
      <c r="E251" s="1"/>
      <c r="F251" s="1"/>
      <c r="G251" s="1"/>
    </row>
    <row r="252" spans="2:7">
      <c r="B252" s="1"/>
      <c r="E252" s="1"/>
      <c r="F252" s="1"/>
      <c r="G252" s="1"/>
    </row>
    <row r="253" spans="2:7">
      <c r="B253" s="1"/>
      <c r="E253" s="1"/>
      <c r="F253" s="1"/>
      <c r="G253" s="1"/>
    </row>
    <row r="254" spans="2:7">
      <c r="B254" s="1"/>
      <c r="E254" s="1"/>
      <c r="F254" s="1"/>
      <c r="G254" s="1"/>
    </row>
    <row r="255" spans="2:7">
      <c r="B255" s="1"/>
      <c r="E255" s="1"/>
      <c r="F255" s="1"/>
      <c r="G255" s="1"/>
    </row>
    <row r="256" spans="2:7">
      <c r="B256" s="1"/>
      <c r="E256" s="1"/>
      <c r="F256" s="1"/>
      <c r="G256" s="1"/>
    </row>
    <row r="257" spans="2:7">
      <c r="B257" s="1"/>
      <c r="E257" s="1"/>
      <c r="F257" s="1"/>
      <c r="G257" s="1"/>
    </row>
    <row r="258" spans="2:7">
      <c r="B258" s="1"/>
      <c r="E258" s="1"/>
      <c r="F258" s="1"/>
      <c r="G258" s="1"/>
    </row>
    <row r="259" spans="2:7">
      <c r="B259" s="1"/>
      <c r="E259" s="1"/>
      <c r="F259" s="1"/>
      <c r="G259" s="1"/>
    </row>
    <row r="260" spans="2:7">
      <c r="B260" s="1"/>
      <c r="E260" s="1"/>
      <c r="F260" s="1"/>
      <c r="G260" s="1"/>
    </row>
    <row r="261" spans="2:7">
      <c r="B261" s="1"/>
      <c r="E261" s="1"/>
      <c r="F261" s="1"/>
      <c r="G261" s="1"/>
    </row>
    <row r="262" spans="2:7">
      <c r="B262" s="1"/>
      <c r="E262" s="1"/>
      <c r="F262" s="1"/>
      <c r="G262" s="1"/>
    </row>
    <row r="263" spans="2:7">
      <c r="B263" s="1"/>
      <c r="E263" s="1"/>
      <c r="F263" s="1"/>
      <c r="G263" s="1"/>
    </row>
    <row r="264" spans="2:7">
      <c r="B264" s="1"/>
      <c r="E264" s="1"/>
      <c r="F264" s="1"/>
      <c r="G264" s="1"/>
    </row>
    <row r="265" spans="2:7">
      <c r="B265" s="1"/>
      <c r="E265" s="1"/>
      <c r="F265" s="1"/>
      <c r="G265" s="1"/>
    </row>
    <row r="266" spans="2:7">
      <c r="B266" s="1"/>
      <c r="E266" s="1"/>
      <c r="F266" s="1"/>
      <c r="G266" s="1"/>
    </row>
    <row r="267" spans="2:7">
      <c r="B267" s="1"/>
      <c r="E267" s="1"/>
      <c r="F267" s="1"/>
      <c r="G267" s="1"/>
    </row>
    <row r="268" spans="2:7">
      <c r="B268" s="1"/>
      <c r="E268" s="1"/>
      <c r="F268" s="1"/>
      <c r="G268" s="1"/>
    </row>
    <row r="269" spans="2:7">
      <c r="B269" s="1"/>
      <c r="E269" s="1"/>
      <c r="F269" s="1"/>
      <c r="G269" s="1"/>
    </row>
    <row r="270" spans="2:7">
      <c r="B270" s="1"/>
      <c r="E270" s="1"/>
      <c r="F270" s="1"/>
      <c r="G270" s="1"/>
    </row>
    <row r="271" spans="2:7">
      <c r="B271" s="1"/>
      <c r="E271" s="1"/>
      <c r="F271" s="1"/>
      <c r="G271" s="1"/>
    </row>
    <row r="272" spans="2:7">
      <c r="B272" s="1"/>
      <c r="E272" s="1"/>
      <c r="F272" s="1"/>
      <c r="G272" s="1"/>
    </row>
    <row r="273" spans="2:7">
      <c r="B273" s="1"/>
      <c r="E273" s="1"/>
      <c r="F273" s="1"/>
      <c r="G273" s="1"/>
    </row>
    <row r="274" spans="2:7">
      <c r="B274" s="1"/>
      <c r="E274" s="1"/>
      <c r="F274" s="1"/>
      <c r="G274" s="1"/>
    </row>
    <row r="275" spans="2:7">
      <c r="B275" s="1"/>
      <c r="E275" s="1"/>
      <c r="F275" s="1"/>
      <c r="G275" s="1"/>
    </row>
    <row r="276" spans="2:7">
      <c r="B276" s="1"/>
      <c r="E276" s="1"/>
      <c r="F276" s="1"/>
      <c r="G276" s="1"/>
    </row>
    <row r="277" spans="2:7">
      <c r="B277" s="1"/>
      <c r="E277" s="1"/>
      <c r="F277" s="1"/>
      <c r="G277" s="1"/>
    </row>
    <row r="278" spans="2:7">
      <c r="B278" s="1"/>
      <c r="E278" s="1"/>
      <c r="F278" s="1"/>
      <c r="G278" s="1"/>
    </row>
    <row r="279" spans="2:7">
      <c r="B279" s="1"/>
      <c r="E279" s="1"/>
      <c r="F279" s="1"/>
      <c r="G279" s="1"/>
    </row>
    <row r="280" spans="2:7">
      <c r="B280" s="1"/>
      <c r="E280" s="1"/>
      <c r="F280" s="1"/>
      <c r="G280" s="1"/>
    </row>
    <row r="281" spans="2:7">
      <c r="B281" s="1"/>
      <c r="E281" s="1"/>
      <c r="F281" s="1"/>
      <c r="G281" s="1"/>
    </row>
    <row r="282" spans="2:7">
      <c r="B282" s="1"/>
      <c r="E282" s="1"/>
      <c r="F282" s="1"/>
      <c r="G282" s="1"/>
    </row>
    <row r="283" spans="2:7">
      <c r="B283" s="1"/>
      <c r="E283" s="1"/>
      <c r="F283" s="1"/>
      <c r="G283" s="1"/>
    </row>
    <row r="284" spans="2:7">
      <c r="B284" s="1"/>
      <c r="E284" s="1"/>
      <c r="F284" s="1"/>
      <c r="G284" s="1"/>
    </row>
    <row r="285" spans="2:7">
      <c r="B285" s="1"/>
      <c r="E285" s="1"/>
      <c r="F285" s="1"/>
      <c r="G285" s="1"/>
    </row>
    <row r="286" spans="2:7">
      <c r="B286" s="1"/>
      <c r="E286" s="1"/>
      <c r="F286" s="1"/>
      <c r="G286" s="1"/>
    </row>
    <row r="287" spans="2:7">
      <c r="B287" s="1"/>
      <c r="E287" s="1"/>
      <c r="F287" s="1"/>
      <c r="G287" s="1"/>
    </row>
    <row r="288" spans="2:7">
      <c r="B288" s="1"/>
      <c r="E288" s="1"/>
      <c r="F288" s="1"/>
      <c r="G288" s="1"/>
    </row>
    <row r="289" spans="2:7">
      <c r="B289" s="1"/>
      <c r="E289" s="1"/>
      <c r="F289" s="1"/>
      <c r="G289" s="1"/>
    </row>
    <row r="290" spans="2:7">
      <c r="B290" s="1"/>
      <c r="E290" s="1"/>
      <c r="F290" s="1"/>
      <c r="G290" s="1"/>
    </row>
    <row r="291" spans="2:7">
      <c r="B291" s="1"/>
      <c r="E291" s="1"/>
      <c r="F291" s="1"/>
      <c r="G291" s="1"/>
    </row>
    <row r="292" spans="2:7">
      <c r="B292" s="1"/>
      <c r="E292" s="1"/>
      <c r="F292" s="1"/>
      <c r="G292" s="1"/>
    </row>
    <row r="293" spans="2:7">
      <c r="B293" s="1"/>
      <c r="E293" s="1"/>
      <c r="F293" s="1"/>
      <c r="G293" s="1"/>
    </row>
    <row r="294" spans="2:7">
      <c r="B294" s="1"/>
      <c r="E294" s="1"/>
      <c r="F294" s="1"/>
      <c r="G294" s="1"/>
    </row>
    <row r="295" spans="2:7">
      <c r="B295" s="1"/>
      <c r="E295" s="1"/>
      <c r="F295" s="1"/>
      <c r="G295" s="1"/>
    </row>
    <row r="296" spans="2:7">
      <c r="B296" s="1"/>
      <c r="E296" s="1"/>
      <c r="F296" s="1"/>
      <c r="G296" s="1"/>
    </row>
    <row r="297" spans="2:7">
      <c r="B297" s="1"/>
      <c r="E297" s="1"/>
      <c r="F297" s="1"/>
      <c r="G297" s="1"/>
    </row>
    <row r="298" spans="2:7">
      <c r="B298" s="1"/>
      <c r="E298" s="1"/>
      <c r="F298" s="1"/>
      <c r="G298" s="1"/>
    </row>
    <row r="299" spans="2:7">
      <c r="B299" s="1"/>
      <c r="E299" s="1"/>
      <c r="F299" s="1"/>
      <c r="G299" s="1"/>
    </row>
    <row r="300" spans="2:7">
      <c r="B300" s="1"/>
      <c r="E300" s="1"/>
      <c r="F300" s="1"/>
      <c r="G300" s="1"/>
    </row>
    <row r="301" spans="2:7">
      <c r="B301" s="1"/>
      <c r="E301" s="1"/>
      <c r="F301" s="1"/>
      <c r="G301" s="1"/>
    </row>
    <row r="302" spans="2:7">
      <c r="B302" s="1"/>
      <c r="E302" s="1"/>
      <c r="F302" s="1"/>
      <c r="G302" s="1"/>
    </row>
    <row r="303" spans="2:7">
      <c r="B303" s="1"/>
      <c r="E303" s="1"/>
      <c r="F303" s="1"/>
      <c r="G303" s="1"/>
    </row>
    <row r="304" spans="2:7">
      <c r="B304" s="1"/>
      <c r="E304" s="1"/>
      <c r="F304" s="1"/>
      <c r="G304" s="1"/>
    </row>
    <row r="305" spans="2:7">
      <c r="B305" s="1"/>
      <c r="E305" s="1"/>
      <c r="F305" s="1"/>
      <c r="G305" s="1"/>
    </row>
    <row r="306" spans="2:7">
      <c r="B306" s="1"/>
      <c r="E306" s="1"/>
      <c r="F306" s="1"/>
      <c r="G306" s="1"/>
    </row>
    <row r="307" spans="2:7">
      <c r="B307" s="1"/>
      <c r="E307" s="1"/>
      <c r="F307" s="1"/>
      <c r="G307" s="1"/>
    </row>
    <row r="308" spans="2:7">
      <c r="B308" s="1"/>
      <c r="E308" s="1"/>
      <c r="F308" s="1"/>
      <c r="G308" s="1"/>
    </row>
    <row r="309" spans="2:7">
      <c r="B309" s="1"/>
      <c r="E309" s="1"/>
      <c r="F309" s="1"/>
      <c r="G309" s="1"/>
    </row>
    <row r="310" spans="2:7">
      <c r="B310" s="1"/>
      <c r="E310" s="1"/>
      <c r="F310" s="1"/>
      <c r="G310" s="1"/>
    </row>
    <row r="311" spans="2:7">
      <c r="B311" s="1"/>
      <c r="E311" s="1"/>
      <c r="F311" s="1"/>
      <c r="G311" s="1"/>
    </row>
    <row r="312" spans="2:7">
      <c r="B312" s="1"/>
      <c r="E312" s="1"/>
      <c r="F312" s="1"/>
      <c r="G312" s="1"/>
    </row>
    <row r="313" spans="2:7">
      <c r="B313" s="1"/>
      <c r="E313" s="1"/>
      <c r="F313" s="1"/>
      <c r="G313" s="1"/>
    </row>
    <row r="314" spans="2:7">
      <c r="B314" s="1"/>
      <c r="E314" s="1"/>
      <c r="F314" s="1"/>
      <c r="G314" s="1"/>
    </row>
    <row r="315" spans="2:7">
      <c r="B315" s="1"/>
      <c r="E315" s="1"/>
      <c r="F315" s="1"/>
      <c r="G315" s="1"/>
    </row>
    <row r="316" spans="2:7">
      <c r="B316" s="1"/>
      <c r="E316" s="1"/>
      <c r="F316" s="1"/>
      <c r="G316" s="1"/>
    </row>
    <row r="317" spans="2:7">
      <c r="B317" s="1"/>
      <c r="E317" s="1"/>
      <c r="F317" s="1"/>
      <c r="G317" s="1"/>
    </row>
    <row r="318" spans="2:7">
      <c r="B318" s="1"/>
      <c r="E318" s="1"/>
      <c r="F318" s="1"/>
      <c r="G318" s="1"/>
    </row>
    <row r="319" spans="2:7">
      <c r="B319" s="1"/>
      <c r="E319" s="1"/>
      <c r="F319" s="1"/>
      <c r="G319" s="1"/>
    </row>
    <row r="320" spans="2:7">
      <c r="B320" s="1"/>
      <c r="E320" s="1"/>
      <c r="F320" s="1"/>
      <c r="G320" s="1"/>
    </row>
    <row r="321" spans="2:7">
      <c r="B321" s="1"/>
      <c r="E321" s="1"/>
      <c r="F321" s="1"/>
      <c r="G321" s="1"/>
    </row>
    <row r="322" spans="2:7">
      <c r="B322" s="1"/>
      <c r="E322" s="1"/>
      <c r="F322" s="1"/>
      <c r="G322" s="1"/>
    </row>
    <row r="323" spans="2:7">
      <c r="B323" s="1"/>
      <c r="E323" s="1"/>
      <c r="F323" s="1"/>
      <c r="G323" s="1"/>
    </row>
    <row r="324" spans="2:7">
      <c r="B324" s="1"/>
      <c r="E324" s="1"/>
      <c r="F324" s="1"/>
      <c r="G324" s="1"/>
    </row>
    <row r="325" spans="2:7">
      <c r="B325" s="1"/>
      <c r="E325" s="1"/>
      <c r="F325" s="1"/>
      <c r="G325" s="1"/>
    </row>
    <row r="326" spans="2:7">
      <c r="B326" s="1"/>
      <c r="E326" s="1"/>
      <c r="F326" s="1"/>
      <c r="G326" s="1"/>
    </row>
    <row r="327" spans="2:7">
      <c r="B327" s="1"/>
      <c r="E327" s="1"/>
      <c r="F327" s="1"/>
      <c r="G327" s="1"/>
    </row>
    <row r="328" spans="2:7">
      <c r="B328" s="1"/>
      <c r="E328" s="1"/>
      <c r="F328" s="1"/>
      <c r="G328" s="1"/>
    </row>
    <row r="329" spans="2:7">
      <c r="B329" s="1"/>
      <c r="E329" s="1"/>
      <c r="F329" s="1"/>
      <c r="G329" s="1"/>
    </row>
    <row r="330" spans="2:7">
      <c r="B330" s="1"/>
      <c r="E330" s="1"/>
      <c r="F330" s="1"/>
      <c r="G330" s="1"/>
    </row>
    <row r="331" spans="2:7">
      <c r="B331" s="1"/>
      <c r="E331" s="1"/>
      <c r="F331" s="1"/>
      <c r="G331" s="1"/>
    </row>
    <row r="332" spans="2:7">
      <c r="B332" s="1"/>
      <c r="E332" s="1"/>
      <c r="F332" s="1"/>
      <c r="G332" s="1"/>
    </row>
    <row r="333" spans="2:7">
      <c r="B333" s="1"/>
      <c r="E333" s="1"/>
      <c r="F333" s="1"/>
      <c r="G333" s="1"/>
    </row>
    <row r="334" spans="2:7">
      <c r="B334" s="1"/>
      <c r="E334" s="1"/>
      <c r="F334" s="1"/>
      <c r="G334" s="1"/>
    </row>
    <row r="335" spans="2:7">
      <c r="B335" s="1"/>
      <c r="E335" s="1"/>
      <c r="F335" s="1"/>
      <c r="G335" s="1"/>
    </row>
    <row r="336" spans="2:7">
      <c r="B336" s="1"/>
      <c r="E336" s="1"/>
      <c r="F336" s="1"/>
      <c r="G336" s="1"/>
    </row>
    <row r="337" spans="2:7">
      <c r="B337" s="1"/>
      <c r="E337" s="1"/>
      <c r="F337" s="1"/>
      <c r="G337" s="1"/>
    </row>
    <row r="338" spans="2:7">
      <c r="B338" s="1"/>
      <c r="E338" s="1"/>
      <c r="F338" s="1"/>
      <c r="G338" s="1"/>
    </row>
    <row r="339" spans="2:7">
      <c r="B339" s="1"/>
      <c r="E339" s="1"/>
      <c r="F339" s="1"/>
      <c r="G339" s="1"/>
    </row>
    <row r="340" spans="2:7">
      <c r="B340" s="1"/>
      <c r="E340" s="1"/>
      <c r="F340" s="1"/>
      <c r="G340" s="1"/>
    </row>
    <row r="341" spans="2:7">
      <c r="B341" s="1"/>
      <c r="E341" s="1"/>
      <c r="F341" s="1"/>
      <c r="G341" s="1"/>
    </row>
    <row r="342" spans="2:7">
      <c r="B342" s="1"/>
      <c r="E342" s="1"/>
      <c r="F342" s="1"/>
      <c r="G342" s="1"/>
    </row>
    <row r="343" spans="2:7">
      <c r="B343" s="1"/>
      <c r="E343" s="1"/>
      <c r="F343" s="1"/>
      <c r="G343" s="1"/>
    </row>
    <row r="344" spans="2:7">
      <c r="B344" s="1"/>
      <c r="E344" s="1"/>
      <c r="F344" s="1"/>
      <c r="G344" s="1"/>
    </row>
    <row r="345" spans="2:7">
      <c r="B345" s="1"/>
      <c r="E345" s="1"/>
      <c r="F345" s="1"/>
      <c r="G345" s="1"/>
    </row>
    <row r="346" spans="2:7">
      <c r="B346" s="1"/>
      <c r="E346" s="1"/>
      <c r="F346" s="1"/>
      <c r="G346" s="1"/>
    </row>
    <row r="347" spans="2:7">
      <c r="B347" s="1"/>
      <c r="E347" s="1"/>
      <c r="F347" s="1"/>
      <c r="G347" s="1"/>
    </row>
    <row r="348" spans="2:7">
      <c r="B348" s="1"/>
      <c r="E348" s="1"/>
      <c r="F348" s="1"/>
      <c r="G348" s="1"/>
    </row>
    <row r="349" spans="2:7">
      <c r="B349" s="1"/>
      <c r="E349" s="1"/>
      <c r="F349" s="1"/>
      <c r="G349" s="1"/>
    </row>
    <row r="350" spans="2:7">
      <c r="B350" s="1"/>
      <c r="E350" s="1"/>
      <c r="F350" s="1"/>
      <c r="G350" s="1"/>
    </row>
    <row r="351" spans="2:7">
      <c r="B351" s="1"/>
      <c r="E351" s="1"/>
      <c r="F351" s="1"/>
      <c r="G351" s="1"/>
    </row>
    <row r="352" spans="2:7">
      <c r="B352" s="1"/>
      <c r="E352" s="1"/>
      <c r="F352" s="1"/>
      <c r="G352" s="1"/>
    </row>
    <row r="353" spans="2:7">
      <c r="B353" s="1"/>
      <c r="E353" s="1"/>
      <c r="F353" s="1"/>
      <c r="G353" s="1"/>
    </row>
    <row r="354" spans="2:7">
      <c r="B354" s="1"/>
      <c r="E354" s="1"/>
      <c r="F354" s="1"/>
      <c r="G354" s="1"/>
    </row>
    <row r="355" spans="2:7">
      <c r="B355" s="1"/>
      <c r="E355" s="1"/>
      <c r="F355" s="1"/>
      <c r="G355" s="1"/>
    </row>
    <row r="356" spans="2:7">
      <c r="B356" s="1"/>
      <c r="E356" s="1"/>
      <c r="F356" s="1"/>
      <c r="G356" s="1"/>
    </row>
    <row r="357" spans="2:7">
      <c r="B357" s="1"/>
      <c r="E357" s="1"/>
      <c r="F357" s="1"/>
      <c r="G357" s="1"/>
    </row>
    <row r="358" spans="2:7">
      <c r="B358" s="1"/>
      <c r="E358" s="1"/>
      <c r="F358" s="1"/>
      <c r="G358" s="1"/>
    </row>
    <row r="359" spans="2:7">
      <c r="B359" s="1"/>
      <c r="E359" s="1"/>
      <c r="F359" s="1"/>
      <c r="G359" s="1"/>
    </row>
    <row r="360" spans="2:7">
      <c r="B360" s="1"/>
      <c r="E360" s="1"/>
      <c r="F360" s="1"/>
      <c r="G360" s="1"/>
    </row>
    <row r="361" spans="2:7">
      <c r="B361" s="1"/>
      <c r="E361" s="1"/>
      <c r="F361" s="1"/>
      <c r="G361" s="1"/>
    </row>
    <row r="362" spans="2:7">
      <c r="B362" s="1"/>
      <c r="E362" s="1"/>
      <c r="F362" s="1"/>
      <c r="G362" s="1"/>
    </row>
    <row r="363" spans="2:7">
      <c r="B363" s="1"/>
      <c r="E363" s="1"/>
      <c r="F363" s="1"/>
      <c r="G363" s="1"/>
    </row>
    <row r="364" spans="2:7">
      <c r="B364" s="1"/>
      <c r="E364" s="1"/>
      <c r="F364" s="1"/>
      <c r="G364" s="1"/>
    </row>
    <row r="365" spans="2:7">
      <c r="B365" s="1"/>
      <c r="E365" s="1"/>
      <c r="F365" s="1"/>
      <c r="G365" s="1"/>
    </row>
    <row r="366" spans="2:7">
      <c r="B366" s="1"/>
      <c r="E366" s="1"/>
      <c r="F366" s="1"/>
      <c r="G366" s="1"/>
    </row>
    <row r="367" spans="2:7">
      <c r="B367" s="1"/>
      <c r="E367" s="1"/>
      <c r="F367" s="1"/>
      <c r="G367" s="1"/>
    </row>
    <row r="368" spans="2:7">
      <c r="B368" s="1"/>
      <c r="E368" s="1"/>
      <c r="F368" s="1"/>
      <c r="G368" s="1"/>
    </row>
    <row r="369" spans="2:7">
      <c r="B369" s="1"/>
      <c r="E369" s="1"/>
      <c r="F369" s="1"/>
      <c r="G369" s="1"/>
    </row>
    <row r="370" spans="2:7">
      <c r="B370" s="1"/>
      <c r="E370" s="1"/>
      <c r="F370" s="1"/>
      <c r="G370" s="1"/>
    </row>
    <row r="371" spans="2:7">
      <c r="B371" s="1"/>
      <c r="E371" s="1"/>
      <c r="F371" s="1"/>
      <c r="G371" s="1"/>
    </row>
    <row r="372" spans="2:7">
      <c r="B372" s="1"/>
      <c r="E372" s="1"/>
      <c r="F372" s="1"/>
      <c r="G372" s="1"/>
    </row>
    <row r="373" spans="2:7">
      <c r="B373" s="1"/>
      <c r="E373" s="1"/>
      <c r="F373" s="1"/>
      <c r="G373" s="1"/>
    </row>
    <row r="374" spans="2:7">
      <c r="B374" s="1"/>
      <c r="E374" s="1"/>
      <c r="F374" s="1"/>
      <c r="G374" s="1"/>
    </row>
    <row r="375" spans="2:7">
      <c r="B375" s="1"/>
      <c r="E375" s="1"/>
      <c r="F375" s="1"/>
      <c r="G375" s="1"/>
    </row>
    <row r="376" spans="2:7">
      <c r="B376" s="1"/>
      <c r="E376" s="1"/>
      <c r="F376" s="1"/>
      <c r="G376" s="1"/>
    </row>
    <row r="377" spans="2:7">
      <c r="B377" s="1"/>
      <c r="E377" s="1"/>
      <c r="F377" s="1"/>
      <c r="G377" s="1"/>
    </row>
    <row r="378" spans="2:7">
      <c r="B378" s="1"/>
      <c r="E378" s="1"/>
      <c r="F378" s="1"/>
      <c r="G378" s="1"/>
    </row>
    <row r="379" spans="2:7">
      <c r="B379" s="1"/>
      <c r="E379" s="1"/>
      <c r="F379" s="1"/>
      <c r="G379" s="1"/>
    </row>
    <row r="380" spans="2:7">
      <c r="B380" s="1"/>
      <c r="E380" s="1"/>
      <c r="F380" s="1"/>
      <c r="G380" s="1"/>
    </row>
    <row r="381" spans="2:7">
      <c r="B381" s="1"/>
      <c r="E381" s="1"/>
      <c r="F381" s="1"/>
      <c r="G381" s="1"/>
    </row>
    <row r="382" spans="2:7">
      <c r="B382" s="1"/>
      <c r="E382" s="1"/>
      <c r="F382" s="1"/>
      <c r="G382" s="1"/>
    </row>
    <row r="383" spans="2:7">
      <c r="B383" s="1"/>
      <c r="E383" s="1"/>
      <c r="F383" s="1"/>
      <c r="G383" s="1"/>
    </row>
    <row r="384" spans="2:7">
      <c r="B384" s="1"/>
      <c r="E384" s="1"/>
      <c r="F384" s="1"/>
      <c r="G384" s="1"/>
    </row>
    <row r="385" spans="2:7">
      <c r="B385" s="1"/>
      <c r="E385" s="1"/>
      <c r="F385" s="1"/>
      <c r="G385" s="1"/>
    </row>
    <row r="386" spans="2:7">
      <c r="B386" s="1"/>
      <c r="E386" s="1"/>
      <c r="F386" s="1"/>
      <c r="G386" s="1"/>
    </row>
    <row r="387" spans="2:7">
      <c r="B387" s="1"/>
      <c r="E387" s="1"/>
      <c r="F387" s="1"/>
      <c r="G387" s="1"/>
    </row>
    <row r="388" spans="2:7">
      <c r="B388" s="1"/>
      <c r="E388" s="1"/>
      <c r="F388" s="1"/>
      <c r="G388" s="1"/>
    </row>
    <row r="389" spans="2:7">
      <c r="B389" s="1"/>
      <c r="E389" s="1"/>
      <c r="F389" s="1"/>
      <c r="G389" s="1"/>
    </row>
    <row r="390" spans="2:7">
      <c r="B390" s="1"/>
      <c r="E390" s="1"/>
      <c r="F390" s="1"/>
      <c r="G390" s="1"/>
    </row>
    <row r="391" spans="2:7">
      <c r="B391" s="1"/>
      <c r="E391" s="1"/>
      <c r="F391" s="1"/>
      <c r="G391" s="1"/>
    </row>
    <row r="392" spans="2:7">
      <c r="B392" s="1"/>
      <c r="E392" s="1"/>
      <c r="F392" s="1"/>
      <c r="G392" s="1"/>
    </row>
    <row r="393" spans="2:7">
      <c r="B393" s="1"/>
      <c r="E393" s="1"/>
      <c r="F393" s="1"/>
      <c r="G393" s="1"/>
    </row>
    <row r="394" spans="2:7">
      <c r="B394" s="1"/>
      <c r="E394" s="1"/>
      <c r="F394" s="1"/>
      <c r="G394" s="1"/>
    </row>
    <row r="395" spans="2:7">
      <c r="B395" s="1"/>
      <c r="E395" s="1"/>
      <c r="F395" s="1"/>
      <c r="G395" s="1"/>
    </row>
    <row r="396" spans="2:7">
      <c r="B396" s="1"/>
      <c r="E396" s="1"/>
      <c r="F396" s="1"/>
      <c r="G396" s="1"/>
    </row>
    <row r="397" spans="2:7">
      <c r="B397" s="1"/>
      <c r="E397" s="1"/>
      <c r="F397" s="1"/>
      <c r="G397" s="1"/>
    </row>
    <row r="398" spans="2:7">
      <c r="B398" s="1"/>
      <c r="E398" s="1"/>
      <c r="F398" s="1"/>
      <c r="G398" s="1"/>
    </row>
    <row r="399" spans="2:7">
      <c r="B399" s="1"/>
      <c r="E399" s="1"/>
      <c r="F399" s="1"/>
      <c r="G399" s="1"/>
    </row>
    <row r="400" spans="2:7">
      <c r="B400" s="1"/>
      <c r="E400" s="1"/>
      <c r="F400" s="1"/>
      <c r="G400" s="1"/>
    </row>
    <row r="401" spans="2:7">
      <c r="B401" s="1"/>
      <c r="E401" s="1"/>
      <c r="F401" s="1"/>
      <c r="G401" s="1"/>
    </row>
    <row r="402" spans="2:7">
      <c r="B402" s="1"/>
      <c r="E402" s="1"/>
      <c r="F402" s="1"/>
      <c r="G402" s="1"/>
    </row>
    <row r="403" spans="2:7">
      <c r="B403" s="1"/>
      <c r="E403" s="1"/>
      <c r="F403" s="1"/>
      <c r="G403" s="1"/>
    </row>
    <row r="404" spans="2:7">
      <c r="B404" s="1"/>
      <c r="E404" s="1"/>
      <c r="F404" s="1"/>
      <c r="G404" s="1"/>
    </row>
    <row r="405" spans="2:7">
      <c r="B405" s="1"/>
      <c r="E405" s="1"/>
      <c r="F405" s="1"/>
      <c r="G405" s="1"/>
    </row>
    <row r="406" spans="2:7">
      <c r="B406" s="1"/>
      <c r="E406" s="1"/>
      <c r="F406" s="1"/>
      <c r="G406" s="1"/>
    </row>
    <row r="407" spans="2:7">
      <c r="B407" s="1"/>
      <c r="E407" s="1"/>
      <c r="F407" s="1"/>
      <c r="G407" s="1"/>
    </row>
    <row r="408" spans="2:7">
      <c r="B408" s="1"/>
      <c r="E408" s="1"/>
      <c r="F408" s="1"/>
      <c r="G408" s="1"/>
    </row>
    <row r="409" spans="2:7">
      <c r="B409" s="1"/>
      <c r="E409" s="1"/>
      <c r="F409" s="1"/>
      <c r="G409" s="1"/>
    </row>
    <row r="410" spans="2:7">
      <c r="B410" s="1"/>
      <c r="E410" s="1"/>
      <c r="F410" s="1"/>
      <c r="G410" s="1"/>
    </row>
    <row r="411" spans="2:7">
      <c r="B411" s="1"/>
      <c r="E411" s="1"/>
      <c r="F411" s="1"/>
      <c r="G411" s="1"/>
    </row>
    <row r="412" spans="2:7">
      <c r="B412" s="1"/>
      <c r="E412" s="1"/>
      <c r="F412" s="1"/>
      <c r="G412" s="1"/>
    </row>
    <row r="413" spans="2:7">
      <c r="B413" s="1"/>
      <c r="E413" s="1"/>
      <c r="F413" s="1"/>
      <c r="G413" s="1"/>
    </row>
    <row r="414" spans="2:7">
      <c r="B414" s="1"/>
      <c r="E414" s="1"/>
      <c r="F414" s="1"/>
      <c r="G414" s="1"/>
    </row>
    <row r="415" spans="2:7">
      <c r="B415" s="1"/>
      <c r="E415" s="1"/>
      <c r="F415" s="1"/>
      <c r="G415" s="1"/>
    </row>
    <row r="416" spans="2:7">
      <c r="B416" s="1"/>
      <c r="E416" s="1"/>
      <c r="F416" s="1"/>
      <c r="G416" s="1"/>
    </row>
    <row r="417" spans="2:7">
      <c r="B417" s="1"/>
      <c r="E417" s="1"/>
      <c r="F417" s="1"/>
      <c r="G417" s="1"/>
    </row>
    <row r="418" spans="2:7">
      <c r="B418" s="1"/>
      <c r="E418" s="1"/>
      <c r="F418" s="1"/>
      <c r="G418" s="1"/>
    </row>
    <row r="419" spans="2:7">
      <c r="B419" s="1"/>
      <c r="E419" s="1"/>
      <c r="F419" s="1"/>
      <c r="G419" s="1"/>
    </row>
    <row r="420" spans="2:7">
      <c r="B420" s="1"/>
      <c r="E420" s="1"/>
      <c r="F420" s="1"/>
      <c r="G420" s="1"/>
    </row>
    <row r="421" spans="2:7">
      <c r="B421" s="1"/>
      <c r="E421" s="1"/>
      <c r="F421" s="1"/>
      <c r="G421" s="1"/>
    </row>
    <row r="422" spans="2:7">
      <c r="B422" s="1"/>
      <c r="E422" s="1"/>
      <c r="F422" s="1"/>
      <c r="G422" s="1"/>
    </row>
    <row r="423" spans="2:7">
      <c r="B423" s="1"/>
      <c r="E423" s="1"/>
      <c r="F423" s="1"/>
      <c r="G423" s="1"/>
    </row>
    <row r="424" spans="2:7">
      <c r="B424" s="1"/>
      <c r="E424" s="1"/>
      <c r="F424" s="1"/>
      <c r="G424" s="1"/>
    </row>
    <row r="425" spans="2:7">
      <c r="B425" s="1"/>
      <c r="E425" s="1"/>
      <c r="F425" s="1"/>
      <c r="G425" s="1"/>
    </row>
    <row r="426" spans="2:7">
      <c r="B426" s="1"/>
      <c r="E426" s="1"/>
      <c r="F426" s="1"/>
      <c r="G426" s="1"/>
    </row>
    <row r="427" spans="2:7">
      <c r="B427" s="1"/>
      <c r="E427" s="1"/>
      <c r="F427" s="1"/>
      <c r="G427" s="1"/>
    </row>
    <row r="428" spans="2:7">
      <c r="B428" s="1"/>
      <c r="E428" s="1"/>
      <c r="F428" s="1"/>
      <c r="G428" s="1"/>
    </row>
    <row r="429" spans="2:7">
      <c r="B429" s="1"/>
      <c r="E429" s="1"/>
      <c r="F429" s="1"/>
      <c r="G429" s="1"/>
    </row>
    <row r="430" spans="2:7">
      <c r="B430" s="1"/>
      <c r="E430" s="1"/>
      <c r="F430" s="1"/>
      <c r="G430" s="1"/>
    </row>
    <row r="431" spans="2:7">
      <c r="B431" s="1"/>
      <c r="E431" s="1"/>
      <c r="F431" s="1"/>
      <c r="G431" s="1"/>
    </row>
    <row r="432" spans="2:7">
      <c r="B432" s="1"/>
      <c r="E432" s="1"/>
      <c r="F432" s="1"/>
      <c r="G432" s="1"/>
    </row>
    <row r="433" spans="2:7">
      <c r="B433" s="1"/>
      <c r="E433" s="1"/>
      <c r="F433" s="1"/>
      <c r="G433" s="1"/>
    </row>
    <row r="434" spans="2:7">
      <c r="B434" s="1"/>
      <c r="E434" s="1"/>
      <c r="F434" s="1"/>
      <c r="G434" s="1"/>
    </row>
    <row r="435" spans="2:7">
      <c r="B435" s="1"/>
      <c r="E435" s="1"/>
      <c r="F435" s="1"/>
      <c r="G435" s="1"/>
    </row>
    <row r="436" spans="2:7">
      <c r="B436" s="1"/>
      <c r="E436" s="1"/>
      <c r="F436" s="1"/>
      <c r="G436" s="1"/>
    </row>
    <row r="437" spans="2:7">
      <c r="B437" s="1"/>
      <c r="E437" s="1"/>
      <c r="F437" s="1"/>
      <c r="G437" s="1"/>
    </row>
    <row r="438" spans="2:7">
      <c r="B438" s="1"/>
      <c r="E438" s="1"/>
      <c r="F438" s="1"/>
      <c r="G438" s="1"/>
    </row>
    <row r="439" spans="2:7">
      <c r="B439" s="1"/>
      <c r="E439" s="1"/>
      <c r="F439" s="1"/>
      <c r="G439" s="1"/>
    </row>
    <row r="440" spans="2:7">
      <c r="B440" s="1"/>
      <c r="E440" s="1"/>
      <c r="F440" s="1"/>
      <c r="G440" s="1"/>
    </row>
    <row r="441" spans="2:7">
      <c r="B441" s="1"/>
      <c r="E441" s="1"/>
      <c r="F441" s="1"/>
      <c r="G441" s="1"/>
    </row>
    <row r="442" spans="2:7">
      <c r="B442" s="1"/>
      <c r="E442" s="1"/>
      <c r="F442" s="1"/>
      <c r="G442" s="1"/>
    </row>
    <row r="443" spans="2:7">
      <c r="B443" s="1"/>
      <c r="E443" s="1"/>
      <c r="F443" s="1"/>
      <c r="G443" s="1"/>
    </row>
    <row r="444" spans="2:7">
      <c r="B444" s="1"/>
      <c r="E444" s="1"/>
      <c r="F444" s="1"/>
      <c r="G444" s="1"/>
    </row>
    <row r="445" spans="2:7">
      <c r="B445" s="1"/>
      <c r="E445" s="1"/>
      <c r="F445" s="1"/>
      <c r="G445" s="1"/>
    </row>
    <row r="446" spans="2:7">
      <c r="B446" s="1"/>
      <c r="E446" s="1"/>
      <c r="F446" s="1"/>
      <c r="G446" s="1"/>
    </row>
    <row r="447" spans="2:7">
      <c r="B447" s="1"/>
      <c r="E447" s="1"/>
      <c r="F447" s="1"/>
      <c r="G447" s="1"/>
    </row>
    <row r="448" spans="2:7">
      <c r="B448" s="1"/>
      <c r="E448" s="1"/>
      <c r="F448" s="1"/>
      <c r="G448" s="1"/>
    </row>
    <row r="449" spans="2:7">
      <c r="B449" s="1"/>
      <c r="E449" s="1"/>
      <c r="F449" s="1"/>
      <c r="G449" s="1"/>
    </row>
    <row r="450" spans="2:7">
      <c r="B450" s="1"/>
      <c r="E450" s="1"/>
      <c r="F450" s="1"/>
      <c r="G450" s="1"/>
    </row>
    <row r="451" spans="2:7">
      <c r="B451" s="1"/>
      <c r="E451" s="1"/>
      <c r="F451" s="1"/>
      <c r="G451" s="1"/>
    </row>
    <row r="452" spans="2:7">
      <c r="B452" s="1"/>
      <c r="E452" s="1"/>
      <c r="F452" s="1"/>
      <c r="G452" s="1"/>
    </row>
    <row r="453" spans="2:7">
      <c r="B453" s="1"/>
      <c r="E453" s="1"/>
      <c r="F453" s="1"/>
      <c r="G453" s="1"/>
    </row>
    <row r="454" spans="2:7">
      <c r="B454" s="1"/>
      <c r="E454" s="1"/>
      <c r="F454" s="1"/>
      <c r="G454" s="1"/>
    </row>
    <row r="455" spans="2:7">
      <c r="B455" s="1"/>
      <c r="E455" s="1"/>
      <c r="F455" s="1"/>
      <c r="G455" s="1"/>
    </row>
    <row r="456" spans="2:7">
      <c r="B456" s="1"/>
      <c r="E456" s="1"/>
      <c r="F456" s="1"/>
      <c r="G456" s="1"/>
    </row>
    <row r="457" spans="2:7">
      <c r="B457" s="1"/>
      <c r="E457" s="1"/>
      <c r="F457" s="1"/>
      <c r="G457" s="1"/>
    </row>
    <row r="458" spans="2:7">
      <c r="B458" s="1"/>
      <c r="E458" s="1"/>
      <c r="F458" s="1"/>
      <c r="G458" s="1"/>
    </row>
    <row r="459" spans="2:7">
      <c r="B459" s="1"/>
      <c r="E459" s="1"/>
      <c r="F459" s="1"/>
      <c r="G459" s="1"/>
    </row>
    <row r="460" spans="2:7">
      <c r="B460" s="1"/>
      <c r="E460" s="1"/>
      <c r="F460" s="1"/>
      <c r="G460" s="1"/>
    </row>
    <row r="461" spans="2:7">
      <c r="B461" s="1"/>
      <c r="E461" s="1"/>
      <c r="F461" s="1"/>
      <c r="G461" s="1"/>
    </row>
    <row r="462" spans="2:7">
      <c r="B462" s="1"/>
      <c r="E462" s="1"/>
      <c r="F462" s="1"/>
      <c r="G462" s="1"/>
    </row>
    <row r="463" spans="2:7">
      <c r="B463" s="1"/>
      <c r="E463" s="1"/>
      <c r="F463" s="1"/>
      <c r="G463" s="1"/>
    </row>
    <row r="464" spans="2:7">
      <c r="B464" s="1"/>
      <c r="E464" s="1"/>
      <c r="F464" s="1"/>
      <c r="G464" s="1"/>
    </row>
    <row r="465" spans="2:7">
      <c r="B465" s="1"/>
      <c r="E465" s="1"/>
      <c r="F465" s="1"/>
      <c r="G465" s="1"/>
    </row>
    <row r="466" spans="2:7">
      <c r="B466" s="1"/>
      <c r="E466" s="1"/>
      <c r="F466" s="1"/>
      <c r="G466" s="1"/>
    </row>
    <row r="467" spans="2:7">
      <c r="B467" s="1"/>
      <c r="E467" s="1"/>
      <c r="F467" s="1"/>
      <c r="G467" s="1"/>
    </row>
    <row r="468" spans="2:7">
      <c r="B468" s="1"/>
      <c r="E468" s="1"/>
      <c r="F468" s="1"/>
      <c r="G468" s="1"/>
    </row>
    <row r="469" spans="2:7">
      <c r="B469" s="1"/>
      <c r="E469" s="1"/>
      <c r="F469" s="1"/>
      <c r="G469" s="1"/>
    </row>
    <row r="470" spans="2:7">
      <c r="B470" s="1"/>
      <c r="E470" s="1"/>
      <c r="F470" s="1"/>
      <c r="G470" s="1"/>
    </row>
    <row r="471" spans="2:7">
      <c r="B471" s="1"/>
      <c r="E471" s="1"/>
      <c r="F471" s="1"/>
      <c r="G471" s="1"/>
    </row>
    <row r="472" spans="2:7">
      <c r="B472" s="1"/>
      <c r="E472" s="1"/>
      <c r="F472" s="1"/>
      <c r="G472" s="1"/>
    </row>
    <row r="473" spans="2:7">
      <c r="B473" s="1"/>
      <c r="E473" s="1"/>
      <c r="F473" s="1"/>
      <c r="G473" s="1"/>
    </row>
    <row r="474" spans="2:7">
      <c r="B474" s="1"/>
      <c r="E474" s="1"/>
      <c r="F474" s="1"/>
      <c r="G474" s="1"/>
    </row>
    <row r="475" spans="2:7">
      <c r="B475" s="1"/>
      <c r="E475" s="1"/>
      <c r="F475" s="1"/>
      <c r="G475" s="1"/>
    </row>
    <row r="476" spans="2:7">
      <c r="B476" s="1"/>
      <c r="E476" s="1"/>
      <c r="F476" s="1"/>
      <c r="G476" s="1"/>
    </row>
    <row r="477" spans="2:7">
      <c r="B477" s="1"/>
      <c r="E477" s="1"/>
      <c r="F477" s="1"/>
      <c r="G477" s="1"/>
    </row>
    <row r="478" spans="2:7">
      <c r="B478" s="1"/>
      <c r="E478" s="1"/>
      <c r="F478" s="1"/>
      <c r="G478" s="1"/>
    </row>
    <row r="479" spans="2:7">
      <c r="B479" s="1"/>
      <c r="E479" s="1"/>
      <c r="F479" s="1"/>
      <c r="G479" s="1"/>
    </row>
    <row r="480" spans="2:7">
      <c r="B480" s="1"/>
      <c r="E480" s="1"/>
      <c r="F480" s="1"/>
      <c r="G480" s="1"/>
    </row>
    <row r="481" spans="2:7">
      <c r="B481" s="1"/>
      <c r="E481" s="1"/>
      <c r="F481" s="1"/>
      <c r="G481" s="1"/>
    </row>
    <row r="482" spans="2:7">
      <c r="B482" s="1"/>
      <c r="E482" s="1"/>
      <c r="F482" s="1"/>
      <c r="G482" s="1"/>
    </row>
    <row r="483" spans="2:7">
      <c r="B483" s="1"/>
      <c r="E483" s="1"/>
      <c r="F483" s="1"/>
      <c r="G483" s="1"/>
    </row>
    <row r="484" spans="2:7">
      <c r="B484" s="1"/>
      <c r="E484" s="1"/>
      <c r="F484" s="1"/>
      <c r="G484" s="1"/>
    </row>
    <row r="485" spans="2:7">
      <c r="B485" s="1"/>
      <c r="E485" s="1"/>
      <c r="F485" s="1"/>
      <c r="G485" s="1"/>
    </row>
    <row r="486" spans="2:7">
      <c r="B486" s="1"/>
      <c r="E486" s="1"/>
      <c r="F486" s="1"/>
      <c r="G486" s="1"/>
    </row>
    <row r="487" spans="2:7">
      <c r="B487" s="1"/>
      <c r="E487" s="1"/>
      <c r="F487" s="1"/>
      <c r="G487" s="1"/>
    </row>
    <row r="488" spans="2:7">
      <c r="B488" s="1"/>
      <c r="E488" s="1"/>
      <c r="F488" s="1"/>
      <c r="G488" s="1"/>
    </row>
    <row r="489" spans="2:7">
      <c r="B489" s="1"/>
      <c r="E489" s="1"/>
      <c r="F489" s="1"/>
      <c r="G489" s="1"/>
    </row>
    <row r="490" spans="2:7">
      <c r="B490" s="1"/>
      <c r="E490" s="1"/>
      <c r="F490" s="1"/>
      <c r="G490" s="1"/>
    </row>
    <row r="491" spans="2:7">
      <c r="B491" s="1"/>
      <c r="E491" s="1"/>
      <c r="F491" s="1"/>
      <c r="G491" s="1"/>
    </row>
    <row r="492" spans="2:7">
      <c r="B492" s="1"/>
      <c r="E492" s="1"/>
      <c r="F492" s="1"/>
      <c r="G492" s="1"/>
    </row>
    <row r="493" spans="2:7">
      <c r="B493" s="1"/>
      <c r="E493" s="1"/>
      <c r="F493" s="1"/>
      <c r="G493" s="1"/>
    </row>
    <row r="494" spans="2:7">
      <c r="B494" s="1"/>
      <c r="E494" s="1"/>
      <c r="F494" s="1"/>
      <c r="G494" s="1"/>
    </row>
    <row r="495" spans="2:7">
      <c r="B495" s="1"/>
      <c r="E495" s="1"/>
      <c r="F495" s="1"/>
      <c r="G495" s="1"/>
    </row>
    <row r="496" spans="2:7">
      <c r="B496" s="1"/>
      <c r="E496" s="1"/>
      <c r="F496" s="1"/>
      <c r="G496" s="1"/>
    </row>
    <row r="497" spans="2:7">
      <c r="B497" s="1"/>
      <c r="E497" s="1"/>
      <c r="F497" s="1"/>
      <c r="G497" s="1"/>
    </row>
    <row r="498" spans="2:7">
      <c r="B498" s="1"/>
      <c r="E498" s="1"/>
      <c r="F498" s="1"/>
      <c r="G498" s="1"/>
    </row>
    <row r="499" spans="2:7">
      <c r="B499" s="1"/>
      <c r="E499" s="1"/>
      <c r="F499" s="1"/>
      <c r="G499" s="1"/>
    </row>
    <row r="500" spans="2:7">
      <c r="B500" s="1"/>
      <c r="E500" s="1"/>
      <c r="F500" s="1"/>
      <c r="G500" s="1"/>
    </row>
    <row r="501" spans="2:7">
      <c r="B501" s="1"/>
      <c r="E501" s="1"/>
      <c r="F501" s="1"/>
      <c r="G501" s="1"/>
    </row>
    <row r="502" spans="2:7">
      <c r="B502" s="1"/>
      <c r="E502" s="1"/>
      <c r="F502" s="1"/>
      <c r="G502" s="1"/>
    </row>
    <row r="503" spans="2:7">
      <c r="B503" s="1"/>
      <c r="E503" s="1"/>
      <c r="F503" s="1"/>
      <c r="G503" s="1"/>
    </row>
    <row r="504" spans="2:7">
      <c r="B504" s="1"/>
      <c r="E504" s="1"/>
      <c r="F504" s="1"/>
      <c r="G504" s="1"/>
    </row>
    <row r="505" spans="2:7">
      <c r="B505" s="1"/>
      <c r="E505" s="1"/>
      <c r="F505" s="1"/>
      <c r="G505" s="1"/>
    </row>
    <row r="506" spans="2:7">
      <c r="B506" s="1"/>
      <c r="E506" s="1"/>
      <c r="F506" s="1"/>
      <c r="G506" s="1"/>
    </row>
    <row r="507" spans="2:7">
      <c r="B507" s="1"/>
      <c r="E507" s="1"/>
      <c r="F507" s="1"/>
      <c r="G507" s="1"/>
    </row>
    <row r="508" spans="2:7">
      <c r="B508" s="1"/>
      <c r="E508" s="1"/>
      <c r="F508" s="1"/>
      <c r="G508" s="1"/>
    </row>
    <row r="509" spans="2:7">
      <c r="B509" s="1"/>
      <c r="E509" s="1"/>
      <c r="F509" s="1"/>
      <c r="G509" s="1"/>
    </row>
    <row r="510" spans="2:7">
      <c r="B510" s="1"/>
      <c r="E510" s="1"/>
      <c r="F510" s="1"/>
      <c r="G510" s="1"/>
    </row>
    <row r="511" spans="2:7">
      <c r="B511" s="1"/>
      <c r="E511" s="1"/>
      <c r="F511" s="1"/>
      <c r="G511" s="1"/>
    </row>
    <row r="512" spans="2:7">
      <c r="B512" s="1"/>
      <c r="E512" s="1"/>
      <c r="F512" s="1"/>
      <c r="G512" s="1"/>
    </row>
    <row r="513" spans="2:7">
      <c r="B513" s="1"/>
      <c r="E513" s="1"/>
      <c r="F513" s="1"/>
      <c r="G513" s="1"/>
    </row>
    <row r="514" spans="2:7">
      <c r="B514" s="1"/>
      <c r="E514" s="1"/>
      <c r="F514" s="1"/>
      <c r="G514" s="1"/>
    </row>
    <row r="515" spans="2:7">
      <c r="B515" s="1"/>
      <c r="E515" s="1"/>
      <c r="F515" s="1"/>
      <c r="G515" s="1"/>
    </row>
    <row r="516" spans="2:7">
      <c r="B516" s="1"/>
      <c r="E516" s="1"/>
      <c r="F516" s="1"/>
      <c r="G516" s="1"/>
    </row>
    <row r="517" spans="2:7">
      <c r="B517" s="1"/>
      <c r="E517" s="1"/>
      <c r="F517" s="1"/>
      <c r="G517" s="1"/>
    </row>
    <row r="518" spans="2:7">
      <c r="B518" s="1"/>
      <c r="E518" s="1"/>
      <c r="F518" s="1"/>
      <c r="G518" s="1"/>
    </row>
    <row r="519" spans="2:7">
      <c r="B519" s="1"/>
      <c r="E519" s="1"/>
      <c r="F519" s="1"/>
      <c r="G519" s="1"/>
    </row>
    <row r="520" spans="2:7">
      <c r="B520" s="1"/>
      <c r="E520" s="1"/>
      <c r="F520" s="1"/>
      <c r="G520" s="1"/>
    </row>
    <row r="521" spans="2:7">
      <c r="B521" s="1"/>
      <c r="E521" s="1"/>
      <c r="F521" s="1"/>
      <c r="G521" s="1"/>
    </row>
    <row r="522" spans="2:7">
      <c r="B522" s="1"/>
      <c r="E522" s="1"/>
      <c r="F522" s="1"/>
      <c r="G522" s="1"/>
    </row>
    <row r="523" spans="2:7">
      <c r="B523" s="1"/>
      <c r="E523" s="1"/>
      <c r="F523" s="1"/>
      <c r="G523" s="1"/>
    </row>
    <row r="524" spans="2:7">
      <c r="B524" s="1"/>
      <c r="E524" s="1"/>
      <c r="F524" s="1"/>
      <c r="G524" s="1"/>
    </row>
    <row r="525" spans="2:7">
      <c r="B525" s="1"/>
      <c r="E525" s="1"/>
      <c r="F525" s="1"/>
      <c r="G525" s="1"/>
    </row>
    <row r="526" spans="2:7">
      <c r="B526" s="1"/>
      <c r="E526" s="1"/>
      <c r="F526" s="1"/>
      <c r="G526" s="1"/>
    </row>
    <row r="527" spans="2:7">
      <c r="B527" s="1"/>
      <c r="E527" s="1"/>
      <c r="F527" s="1"/>
      <c r="G527" s="1"/>
    </row>
    <row r="528" spans="2:7">
      <c r="B528" s="1"/>
      <c r="E528" s="1"/>
      <c r="F528" s="1"/>
      <c r="G528" s="1"/>
    </row>
    <row r="529" spans="2:7">
      <c r="B529" s="1"/>
      <c r="E529" s="1"/>
      <c r="F529" s="1"/>
      <c r="G529" s="1"/>
    </row>
    <row r="530" spans="2:7">
      <c r="B530" s="1"/>
      <c r="E530" s="1"/>
      <c r="F530" s="1"/>
      <c r="G530" s="1"/>
    </row>
    <row r="531" spans="2:7">
      <c r="B531" s="1"/>
      <c r="E531" s="1"/>
      <c r="F531" s="1"/>
      <c r="G531" s="1"/>
    </row>
    <row r="532" spans="2:7">
      <c r="B532" s="1"/>
      <c r="E532" s="1"/>
      <c r="F532" s="1"/>
      <c r="G532" s="1"/>
    </row>
    <row r="533" spans="2:7">
      <c r="B533" s="1"/>
      <c r="E533" s="1"/>
      <c r="F533" s="1"/>
      <c r="G533" s="1"/>
    </row>
    <row r="534" spans="2:7">
      <c r="B534" s="1"/>
      <c r="E534" s="1"/>
      <c r="F534" s="1"/>
      <c r="G534" s="1"/>
    </row>
    <row r="535" spans="2:7">
      <c r="B535" s="1"/>
      <c r="E535" s="1"/>
      <c r="F535" s="1"/>
      <c r="G535" s="1"/>
    </row>
    <row r="536" spans="2:7">
      <c r="B536" s="1"/>
      <c r="E536" s="1"/>
      <c r="F536" s="1"/>
      <c r="G536" s="1"/>
    </row>
    <row r="537" spans="2:7">
      <c r="B537" s="1"/>
      <c r="E537" s="1"/>
      <c r="F537" s="1"/>
      <c r="G537" s="1"/>
    </row>
    <row r="538" spans="2:7">
      <c r="B538" s="1"/>
      <c r="E538" s="1"/>
      <c r="F538" s="1"/>
      <c r="G538" s="1"/>
    </row>
    <row r="539" spans="2:7">
      <c r="B539" s="1"/>
      <c r="E539" s="1"/>
      <c r="F539" s="1"/>
      <c r="G539" s="1"/>
    </row>
    <row r="540" spans="2:7">
      <c r="B540" s="1"/>
      <c r="E540" s="1"/>
      <c r="F540" s="1"/>
      <c r="G540" s="1"/>
    </row>
    <row r="541" spans="2:7">
      <c r="B541" s="1"/>
      <c r="E541" s="1"/>
      <c r="F541" s="1"/>
      <c r="G541" s="1"/>
    </row>
    <row r="542" spans="2:7">
      <c r="B542" s="1"/>
      <c r="E542" s="1"/>
      <c r="F542" s="1"/>
      <c r="G542" s="1"/>
    </row>
    <row r="543" spans="2:7">
      <c r="B543" s="1"/>
      <c r="E543" s="1"/>
      <c r="F543" s="1"/>
      <c r="G543" s="1"/>
    </row>
    <row r="544" spans="2:7">
      <c r="B544" s="1"/>
      <c r="E544" s="1"/>
      <c r="F544" s="1"/>
      <c r="G544" s="1"/>
    </row>
    <row r="545" spans="2:7">
      <c r="B545" s="1"/>
      <c r="E545" s="1"/>
      <c r="F545" s="1"/>
      <c r="G545" s="1"/>
    </row>
    <row r="546" spans="2:7">
      <c r="B546" s="1"/>
      <c r="E546" s="1"/>
      <c r="F546" s="1"/>
      <c r="G546" s="1"/>
    </row>
    <row r="547" spans="2:7">
      <c r="B547" s="1"/>
      <c r="E547" s="1"/>
      <c r="F547" s="1"/>
      <c r="G547" s="1"/>
    </row>
    <row r="548" spans="2:7">
      <c r="B548" s="1"/>
      <c r="E548" s="1"/>
      <c r="F548" s="1"/>
      <c r="G548" s="1"/>
    </row>
    <row r="549" spans="2:7">
      <c r="B549" s="1"/>
      <c r="E549" s="1"/>
      <c r="F549" s="1"/>
      <c r="G549" s="1"/>
    </row>
    <row r="550" spans="2:7">
      <c r="B550" s="1"/>
      <c r="E550" s="1"/>
      <c r="F550" s="1"/>
      <c r="G550" s="1"/>
    </row>
    <row r="551" spans="2:7">
      <c r="B551" s="1"/>
      <c r="E551" s="1"/>
      <c r="F551" s="1"/>
      <c r="G551" s="1"/>
    </row>
    <row r="552" spans="2:7">
      <c r="B552" s="1"/>
      <c r="E552" s="1"/>
      <c r="F552" s="1"/>
      <c r="G552" s="1"/>
    </row>
    <row r="553" spans="2:7">
      <c r="B553" s="1"/>
      <c r="E553" s="1"/>
      <c r="F553" s="1"/>
      <c r="G553" s="1"/>
    </row>
    <row r="554" spans="2:7">
      <c r="B554" s="1"/>
      <c r="E554" s="1"/>
      <c r="F554" s="1"/>
      <c r="G554" s="1"/>
    </row>
    <row r="555" spans="2:7">
      <c r="B555" s="1"/>
      <c r="E555" s="1"/>
      <c r="F555" s="1"/>
      <c r="G555" s="1"/>
    </row>
    <row r="556" spans="2:7">
      <c r="B556" s="1"/>
      <c r="E556" s="1"/>
      <c r="F556" s="1"/>
      <c r="G556" s="1"/>
    </row>
    <row r="557" spans="2:7">
      <c r="B557" s="1"/>
      <c r="E557" s="1"/>
      <c r="F557" s="1"/>
      <c r="G557" s="1"/>
    </row>
    <row r="558" spans="2:7">
      <c r="B558" s="1"/>
      <c r="E558" s="1"/>
      <c r="F558" s="1"/>
      <c r="G558" s="1"/>
    </row>
    <row r="559" spans="2:7">
      <c r="B559" s="1"/>
      <c r="E559" s="1"/>
      <c r="F559" s="1"/>
      <c r="G559" s="1"/>
    </row>
    <row r="560" spans="2:7">
      <c r="B560" s="1"/>
      <c r="E560" s="1"/>
      <c r="F560" s="1"/>
      <c r="G560" s="1"/>
    </row>
    <row r="561" spans="2:7">
      <c r="B561" s="1"/>
      <c r="E561" s="1"/>
      <c r="F561" s="1"/>
      <c r="G561" s="1"/>
    </row>
    <row r="562" spans="2:7">
      <c r="B562" s="1"/>
      <c r="E562" s="1"/>
      <c r="F562" s="1"/>
      <c r="G562" s="1"/>
    </row>
    <row r="563" spans="2:7">
      <c r="B563" s="1"/>
      <c r="E563" s="1"/>
      <c r="F563" s="1"/>
      <c r="G563" s="1"/>
    </row>
    <row r="564" spans="2:7">
      <c r="B564" s="1"/>
      <c r="E564" s="1"/>
      <c r="F564" s="1"/>
      <c r="G564" s="1"/>
    </row>
    <row r="565" spans="2:7">
      <c r="B565" s="1"/>
      <c r="E565" s="1"/>
      <c r="F565" s="1"/>
      <c r="G565" s="1"/>
    </row>
    <row r="566" spans="2:7">
      <c r="B566" s="1"/>
      <c r="E566" s="1"/>
      <c r="F566" s="1"/>
      <c r="G566" s="1"/>
    </row>
    <row r="567" spans="2:7">
      <c r="B567" s="1"/>
      <c r="E567" s="1"/>
      <c r="F567" s="1"/>
      <c r="G567" s="1"/>
    </row>
    <row r="568" spans="2:7">
      <c r="B568" s="1"/>
      <c r="E568" s="1"/>
      <c r="F568" s="1"/>
      <c r="G568" s="1"/>
    </row>
    <row r="569" spans="2:7">
      <c r="B569" s="1"/>
      <c r="E569" s="1"/>
      <c r="F569" s="1"/>
      <c r="G569" s="1"/>
    </row>
    <row r="570" spans="2:7">
      <c r="B570" s="1"/>
      <c r="E570" s="1"/>
      <c r="F570" s="1"/>
      <c r="G570" s="1"/>
    </row>
    <row r="571" spans="2:7">
      <c r="B571" s="1"/>
      <c r="E571" s="1"/>
      <c r="F571" s="1"/>
      <c r="G571" s="1"/>
    </row>
    <row r="572" spans="2:7">
      <c r="B572" s="1"/>
      <c r="E572" s="1"/>
      <c r="F572" s="1"/>
      <c r="G572" s="1"/>
    </row>
    <row r="573" spans="2:7">
      <c r="B573" s="1"/>
      <c r="E573" s="1"/>
      <c r="F573" s="1"/>
      <c r="G573" s="1"/>
    </row>
    <row r="574" spans="2:7">
      <c r="B574" s="1"/>
      <c r="E574" s="1"/>
      <c r="F574" s="1"/>
      <c r="G574" s="1"/>
    </row>
    <row r="575" spans="2:7">
      <c r="B575" s="1"/>
      <c r="E575" s="1"/>
      <c r="F575" s="1"/>
      <c r="G575" s="1"/>
    </row>
    <row r="576" spans="2:7">
      <c r="B576" s="1"/>
      <c r="E576" s="1"/>
      <c r="F576" s="1"/>
      <c r="G576" s="1"/>
    </row>
    <row r="577" spans="2:7">
      <c r="B577" s="1"/>
      <c r="E577" s="1"/>
      <c r="F577" s="1"/>
      <c r="G577" s="1"/>
    </row>
    <row r="578" spans="2:7">
      <c r="B578" s="1"/>
      <c r="E578" s="1"/>
      <c r="F578" s="1"/>
      <c r="G578" s="1"/>
    </row>
    <row r="579" spans="2:7">
      <c r="B579" s="1"/>
      <c r="E579" s="1"/>
      <c r="F579" s="1"/>
      <c r="G579" s="1"/>
    </row>
    <row r="580" spans="2:7">
      <c r="B580" s="1"/>
      <c r="E580" s="1"/>
      <c r="F580" s="1"/>
      <c r="G580" s="1"/>
    </row>
    <row r="581" spans="2:7">
      <c r="B581" s="1"/>
      <c r="E581" s="1"/>
      <c r="F581" s="1"/>
      <c r="G581" s="1"/>
    </row>
    <row r="582" spans="2:7">
      <c r="B582" s="1"/>
      <c r="E582" s="1"/>
      <c r="F582" s="1"/>
      <c r="G582" s="1"/>
    </row>
    <row r="583" spans="2:7">
      <c r="B583" s="1"/>
      <c r="E583" s="1"/>
      <c r="F583" s="1"/>
      <c r="G583" s="1"/>
    </row>
    <row r="584" spans="2:7">
      <c r="B584" s="1"/>
      <c r="E584" s="1"/>
      <c r="F584" s="1"/>
      <c r="G584" s="1"/>
    </row>
    <row r="585" spans="2:7">
      <c r="B585" s="1"/>
      <c r="E585" s="1"/>
      <c r="F585" s="1"/>
      <c r="G585" s="1"/>
    </row>
    <row r="586" spans="2:7">
      <c r="B586" s="1"/>
      <c r="E586" s="1"/>
      <c r="F586" s="1"/>
      <c r="G586" s="1"/>
    </row>
    <row r="587" spans="2:7">
      <c r="B587" s="1"/>
      <c r="E587" s="1"/>
      <c r="F587" s="1"/>
      <c r="G587" s="1"/>
    </row>
    <row r="588" spans="2:7">
      <c r="B588" s="1"/>
      <c r="E588" s="1"/>
      <c r="F588" s="1"/>
      <c r="G588" s="1"/>
    </row>
    <row r="589" spans="2:7">
      <c r="B589" s="1"/>
      <c r="E589" s="1"/>
      <c r="F589" s="1"/>
      <c r="G589" s="1"/>
    </row>
    <row r="590" spans="2:7">
      <c r="B590" s="1"/>
      <c r="E590" s="1"/>
      <c r="F590" s="1"/>
      <c r="G590" s="1"/>
    </row>
    <row r="591" spans="2:7">
      <c r="B591" s="1"/>
      <c r="E591" s="1"/>
      <c r="F591" s="1"/>
      <c r="G591" s="1"/>
    </row>
    <row r="592" spans="2:7">
      <c r="B592" s="1"/>
      <c r="E592" s="1"/>
      <c r="F592" s="1"/>
      <c r="G592" s="1"/>
    </row>
    <row r="593" spans="2:7">
      <c r="B593" s="1"/>
      <c r="E593" s="1"/>
      <c r="F593" s="1"/>
      <c r="G593" s="1"/>
    </row>
    <row r="594" spans="2:7">
      <c r="B594" s="1"/>
      <c r="E594" s="1"/>
      <c r="F594" s="1"/>
      <c r="G594" s="1"/>
    </row>
    <row r="595" spans="2:7">
      <c r="B595" s="1"/>
      <c r="E595" s="1"/>
      <c r="F595" s="1"/>
      <c r="G595" s="1"/>
    </row>
    <row r="596" spans="2:7">
      <c r="B596" s="1"/>
      <c r="E596" s="1"/>
      <c r="F596" s="1"/>
      <c r="G596" s="1"/>
    </row>
    <row r="597" spans="2:7">
      <c r="B597" s="1"/>
      <c r="E597" s="1"/>
      <c r="F597" s="1"/>
      <c r="G597" s="1"/>
    </row>
    <row r="598" spans="2:7">
      <c r="B598" s="1"/>
      <c r="E598" s="1"/>
      <c r="F598" s="1"/>
      <c r="G598" s="1"/>
    </row>
    <row r="599" spans="2:7">
      <c r="B599" s="1"/>
      <c r="E599" s="1"/>
      <c r="F599" s="1"/>
      <c r="G599" s="1"/>
    </row>
    <row r="600" spans="2:7">
      <c r="B600" s="1"/>
      <c r="E600" s="1"/>
      <c r="F600" s="1"/>
      <c r="G600" s="1"/>
    </row>
    <row r="601" spans="2:7">
      <c r="B601" s="1"/>
      <c r="E601" s="1"/>
      <c r="F601" s="1"/>
      <c r="G601" s="1"/>
    </row>
    <row r="602" spans="2:7">
      <c r="B602" s="1"/>
      <c r="E602" s="1"/>
      <c r="F602" s="1"/>
      <c r="G602" s="1"/>
    </row>
    <row r="603" spans="2:7">
      <c r="B603" s="1"/>
      <c r="E603" s="1"/>
      <c r="F603" s="1"/>
      <c r="G603" s="1"/>
    </row>
    <row r="604" spans="2:7">
      <c r="B604" s="1"/>
      <c r="E604" s="1"/>
      <c r="F604" s="1"/>
      <c r="G604" s="1"/>
    </row>
    <row r="605" spans="2:7">
      <c r="B605" s="1"/>
      <c r="E605" s="1"/>
      <c r="F605" s="1"/>
      <c r="G605" s="1"/>
    </row>
    <row r="606" spans="2:7">
      <c r="B606" s="1"/>
      <c r="E606" s="1"/>
      <c r="F606" s="1"/>
      <c r="G606" s="1"/>
    </row>
    <row r="607" spans="2:7">
      <c r="B607" s="1"/>
      <c r="E607" s="1"/>
      <c r="F607" s="1"/>
      <c r="G607" s="1"/>
    </row>
    <row r="608" spans="2:7">
      <c r="B608" s="1"/>
      <c r="E608" s="1"/>
      <c r="F608" s="1"/>
      <c r="G608" s="1"/>
    </row>
    <row r="609" spans="2:7">
      <c r="B609" s="1"/>
      <c r="E609" s="1"/>
      <c r="F609" s="1"/>
      <c r="G609" s="1"/>
    </row>
    <row r="610" spans="2:7">
      <c r="B610" s="1"/>
      <c r="E610" s="1"/>
      <c r="F610" s="1"/>
      <c r="G610" s="1"/>
    </row>
    <row r="611" spans="2:7">
      <c r="B611" s="1"/>
      <c r="E611" s="1"/>
      <c r="F611" s="1"/>
      <c r="G611" s="1"/>
    </row>
    <row r="612" spans="2:7">
      <c r="B612" s="1"/>
      <c r="E612" s="1"/>
      <c r="F612" s="1"/>
      <c r="G612" s="1"/>
    </row>
    <row r="613" spans="2:7">
      <c r="B613" s="1"/>
      <c r="E613" s="1"/>
      <c r="F613" s="1"/>
      <c r="G613" s="1"/>
    </row>
    <row r="614" spans="2:7">
      <c r="B614" s="1"/>
      <c r="E614" s="1"/>
      <c r="F614" s="1"/>
      <c r="G614" s="1"/>
    </row>
    <row r="615" spans="2:7">
      <c r="B615" s="1"/>
      <c r="E615" s="1"/>
      <c r="F615" s="1"/>
      <c r="G615" s="1"/>
    </row>
    <row r="616" spans="2:7">
      <c r="B616" s="1"/>
      <c r="E616" s="1"/>
      <c r="F616" s="1"/>
      <c r="G616" s="1"/>
    </row>
    <row r="617" spans="2:7">
      <c r="B617" s="1"/>
      <c r="E617" s="1"/>
      <c r="F617" s="1"/>
      <c r="G617" s="1"/>
    </row>
    <row r="618" spans="2:7">
      <c r="B618" s="1"/>
      <c r="E618" s="1"/>
      <c r="F618" s="1"/>
      <c r="G618" s="1"/>
    </row>
    <row r="619" spans="2:7">
      <c r="B619" s="1"/>
      <c r="E619" s="1"/>
      <c r="F619" s="1"/>
      <c r="G619" s="1"/>
    </row>
    <row r="620" spans="2:7">
      <c r="B620" s="1"/>
      <c r="E620" s="1"/>
      <c r="F620" s="1"/>
      <c r="G620" s="1"/>
    </row>
    <row r="621" spans="2:7">
      <c r="B621" s="1"/>
      <c r="E621" s="1"/>
      <c r="F621" s="1"/>
      <c r="G621" s="1"/>
    </row>
    <row r="622" spans="2:7">
      <c r="B622" s="1"/>
      <c r="E622" s="1"/>
      <c r="F622" s="1"/>
      <c r="G622" s="1"/>
    </row>
    <row r="623" spans="2:7">
      <c r="B623" s="1"/>
      <c r="E623" s="1"/>
      <c r="F623" s="1"/>
      <c r="G623" s="1"/>
    </row>
    <row r="624" spans="2:7">
      <c r="B624" s="1"/>
      <c r="E624" s="1"/>
      <c r="F624" s="1"/>
      <c r="G624" s="1"/>
    </row>
    <row r="625" spans="2:7">
      <c r="B625" s="1"/>
      <c r="E625" s="1"/>
      <c r="F625" s="1"/>
      <c r="G625" s="1"/>
    </row>
    <row r="626" spans="2:7">
      <c r="B626" s="1"/>
      <c r="E626" s="1"/>
      <c r="F626" s="1"/>
      <c r="G626" s="1"/>
    </row>
    <row r="627" spans="2:7">
      <c r="B627" s="1"/>
      <c r="E627" s="1"/>
      <c r="F627" s="1"/>
      <c r="G627" s="1"/>
    </row>
    <row r="628" spans="2:7">
      <c r="B628" s="1"/>
      <c r="E628" s="1"/>
      <c r="F628" s="1"/>
      <c r="G628" s="1"/>
    </row>
    <row r="629" spans="2:7">
      <c r="B629" s="1"/>
      <c r="E629" s="1"/>
      <c r="F629" s="1"/>
      <c r="G629" s="1"/>
    </row>
    <row r="630" spans="2:7">
      <c r="B630" s="1"/>
      <c r="E630" s="1"/>
      <c r="F630" s="1"/>
      <c r="G630" s="1"/>
    </row>
    <row r="631" spans="2:7">
      <c r="B631" s="1"/>
      <c r="E631" s="1"/>
      <c r="F631" s="1"/>
      <c r="G631" s="1"/>
    </row>
    <row r="632" spans="2:7">
      <c r="B632" s="1"/>
      <c r="E632" s="1"/>
      <c r="F632" s="1"/>
      <c r="G632" s="1"/>
    </row>
    <row r="633" spans="2:7">
      <c r="B633" s="1"/>
      <c r="E633" s="1"/>
      <c r="F633" s="1"/>
      <c r="G633" s="1"/>
    </row>
    <row r="634" spans="2:7">
      <c r="B634" s="1"/>
      <c r="E634" s="1"/>
      <c r="F634" s="1"/>
      <c r="G634" s="1"/>
    </row>
    <row r="635" spans="2:7">
      <c r="B635" s="1"/>
      <c r="E635" s="1"/>
      <c r="F635" s="1"/>
      <c r="G635" s="1"/>
    </row>
    <row r="636" spans="2:7">
      <c r="B636" s="1"/>
      <c r="E636" s="1"/>
      <c r="F636" s="1"/>
      <c r="G636" s="1"/>
    </row>
    <row r="637" spans="2:7">
      <c r="B637" s="1"/>
      <c r="E637" s="1"/>
      <c r="F637" s="1"/>
      <c r="G637" s="1"/>
    </row>
    <row r="638" spans="2:7">
      <c r="B638" s="1"/>
      <c r="E638" s="1"/>
      <c r="F638" s="1"/>
      <c r="G638" s="1"/>
    </row>
    <row r="639" spans="2:7">
      <c r="B639" s="1"/>
      <c r="E639" s="1"/>
      <c r="F639" s="1"/>
      <c r="G639" s="1"/>
    </row>
    <row r="640" spans="2:7">
      <c r="B640" s="1"/>
      <c r="E640" s="1"/>
      <c r="F640" s="1"/>
      <c r="G640" s="1"/>
    </row>
    <row r="641" spans="2:7">
      <c r="B641" s="1"/>
      <c r="E641" s="1"/>
      <c r="F641" s="1"/>
      <c r="G641" s="1"/>
    </row>
    <row r="642" spans="2:7">
      <c r="B642" s="1"/>
      <c r="E642" s="1"/>
      <c r="F642" s="1"/>
      <c r="G642" s="1"/>
    </row>
    <row r="643" spans="2:7">
      <c r="B643" s="1"/>
      <c r="E643" s="1"/>
      <c r="F643" s="1"/>
      <c r="G643" s="1"/>
    </row>
    <row r="644" spans="2:7">
      <c r="B644" s="1"/>
      <c r="E644" s="1"/>
      <c r="F644" s="1"/>
      <c r="G644" s="1"/>
    </row>
    <row r="645" spans="2:7">
      <c r="B645" s="1"/>
      <c r="E645" s="1"/>
      <c r="F645" s="1"/>
      <c r="G645" s="1"/>
    </row>
    <row r="646" spans="2:7">
      <c r="B646" s="1"/>
      <c r="E646" s="1"/>
      <c r="F646" s="1"/>
      <c r="G646" s="1"/>
    </row>
    <row r="647" spans="2:7">
      <c r="B647" s="1"/>
      <c r="E647" s="1"/>
      <c r="F647" s="1"/>
      <c r="G647" s="1"/>
    </row>
    <row r="648" spans="2:7">
      <c r="B648" s="1"/>
      <c r="E648" s="1"/>
      <c r="F648" s="1"/>
      <c r="G648" s="1"/>
    </row>
    <row r="649" spans="2:7">
      <c r="B649" s="1"/>
      <c r="E649" s="1"/>
      <c r="F649" s="1"/>
      <c r="G649" s="1"/>
    </row>
    <row r="650" spans="2:7">
      <c r="B650" s="1"/>
      <c r="E650" s="1"/>
      <c r="F650" s="1"/>
      <c r="G650" s="1"/>
    </row>
    <row r="651" spans="2:7">
      <c r="B651" s="1"/>
      <c r="E651" s="1"/>
      <c r="F651" s="1"/>
      <c r="G651" s="1"/>
    </row>
    <row r="652" spans="2:7">
      <c r="B652" s="1"/>
      <c r="E652" s="1"/>
      <c r="F652" s="1"/>
      <c r="G652" s="1"/>
    </row>
    <row r="653" spans="2:7">
      <c r="B653" s="1"/>
      <c r="E653" s="1"/>
      <c r="F653" s="1"/>
      <c r="G653" s="1"/>
    </row>
    <row r="654" spans="2:7">
      <c r="B654" s="1"/>
      <c r="E654" s="1"/>
      <c r="F654" s="1"/>
      <c r="G654" s="1"/>
    </row>
    <row r="655" spans="2:7">
      <c r="B655" s="1"/>
      <c r="E655" s="1"/>
      <c r="F655" s="1"/>
      <c r="G655" s="1"/>
    </row>
    <row r="656" spans="2:7">
      <c r="B656" s="1"/>
      <c r="E656" s="1"/>
      <c r="F656" s="1"/>
      <c r="G656" s="1"/>
    </row>
    <row r="657" spans="2:7">
      <c r="B657" s="1"/>
      <c r="E657" s="1"/>
      <c r="F657" s="1"/>
      <c r="G657" s="1"/>
    </row>
    <row r="658" spans="2:7">
      <c r="B658" s="1"/>
      <c r="E658" s="1"/>
      <c r="F658" s="1"/>
      <c r="G658" s="1"/>
    </row>
    <row r="659" spans="2:7">
      <c r="B659" s="1"/>
      <c r="E659" s="1"/>
      <c r="F659" s="1"/>
      <c r="G659" s="1"/>
    </row>
    <row r="660" spans="2:7">
      <c r="B660" s="1"/>
      <c r="E660" s="1"/>
      <c r="F660" s="1"/>
      <c r="G660" s="1"/>
    </row>
    <row r="661" spans="2:7">
      <c r="B661" s="1"/>
      <c r="E661" s="1"/>
      <c r="F661" s="1"/>
      <c r="G661" s="1"/>
    </row>
    <row r="662" spans="2:7">
      <c r="B662" s="1"/>
      <c r="E662" s="1"/>
      <c r="F662" s="1"/>
      <c r="G662" s="1"/>
    </row>
    <row r="663" spans="2:7">
      <c r="B663" s="1"/>
      <c r="E663" s="1"/>
      <c r="F663" s="1"/>
      <c r="G663" s="1"/>
    </row>
    <row r="664" spans="2:7">
      <c r="B664" s="1"/>
      <c r="E664" s="1"/>
      <c r="F664" s="1"/>
      <c r="G664" s="1"/>
    </row>
    <row r="665" spans="2:7">
      <c r="B665" s="1"/>
      <c r="E665" s="1"/>
      <c r="F665" s="1"/>
      <c r="G665" s="1"/>
    </row>
    <row r="666" spans="2:7">
      <c r="B666" s="1"/>
      <c r="E666" s="1"/>
      <c r="F666" s="1"/>
      <c r="G666" s="1"/>
    </row>
    <row r="667" spans="2:7">
      <c r="B667" s="1"/>
      <c r="E667" s="1"/>
      <c r="F667" s="1"/>
      <c r="G667" s="1"/>
    </row>
    <row r="668" spans="2:7">
      <c r="B668" s="1"/>
      <c r="E668" s="1"/>
      <c r="F668" s="1"/>
      <c r="G668" s="1"/>
    </row>
    <row r="669" spans="2:7">
      <c r="B669" s="1"/>
      <c r="E669" s="1"/>
      <c r="F669" s="1"/>
      <c r="G669" s="1"/>
    </row>
    <row r="670" spans="2:7">
      <c r="B670" s="1"/>
      <c r="E670" s="1"/>
      <c r="F670" s="1"/>
      <c r="G670" s="1"/>
    </row>
    <row r="671" spans="2:7">
      <c r="B671" s="1"/>
      <c r="E671" s="1"/>
      <c r="F671" s="1"/>
      <c r="G671" s="1"/>
    </row>
    <row r="672" spans="2:7">
      <c r="B672" s="1"/>
      <c r="E672" s="1"/>
      <c r="F672" s="1"/>
      <c r="G672" s="1"/>
    </row>
    <row r="673" spans="2:7">
      <c r="B673" s="1"/>
      <c r="E673" s="1"/>
      <c r="F673" s="1"/>
      <c r="G673" s="1"/>
    </row>
    <row r="674" spans="2:7">
      <c r="B674" s="1"/>
      <c r="E674" s="1"/>
      <c r="F674" s="1"/>
      <c r="G674" s="1"/>
    </row>
    <row r="675" spans="2:7">
      <c r="B675" s="1"/>
      <c r="E675" s="1"/>
      <c r="F675" s="1"/>
      <c r="G675" s="1"/>
    </row>
    <row r="676" spans="2:7">
      <c r="B676" s="1"/>
      <c r="E676" s="1"/>
      <c r="F676" s="1"/>
      <c r="G676" s="1"/>
    </row>
    <row r="677" spans="2:7">
      <c r="B677" s="1"/>
      <c r="E677" s="1"/>
      <c r="F677" s="1"/>
      <c r="G677" s="1"/>
    </row>
    <row r="678" spans="2:7">
      <c r="B678" s="1"/>
      <c r="E678" s="1"/>
      <c r="F678" s="1"/>
      <c r="G678" s="1"/>
    </row>
    <row r="679" spans="2:7">
      <c r="B679" s="1"/>
      <c r="E679" s="1"/>
      <c r="F679" s="1"/>
      <c r="G679" s="1"/>
    </row>
    <row r="680" spans="2:7">
      <c r="B680" s="1"/>
      <c r="E680" s="1"/>
      <c r="F680" s="1"/>
      <c r="G680" s="1"/>
    </row>
    <row r="681" spans="2:7">
      <c r="B681" s="1"/>
      <c r="E681" s="1"/>
      <c r="F681" s="1"/>
      <c r="G681" s="1"/>
    </row>
    <row r="682" spans="2:7">
      <c r="B682" s="1"/>
      <c r="E682" s="1"/>
      <c r="F682" s="1"/>
      <c r="G682" s="1"/>
    </row>
    <row r="683" spans="2:7">
      <c r="B683" s="1"/>
      <c r="E683" s="1"/>
      <c r="F683" s="1"/>
      <c r="G683" s="1"/>
    </row>
    <row r="684" spans="2:7">
      <c r="B684" s="1"/>
      <c r="E684" s="1"/>
      <c r="F684" s="1"/>
      <c r="G684" s="1"/>
    </row>
    <row r="685" spans="2:7">
      <c r="B685" s="1"/>
      <c r="E685" s="1"/>
      <c r="F685" s="1"/>
      <c r="G685" s="1"/>
    </row>
    <row r="686" spans="2:7">
      <c r="B686" s="1"/>
      <c r="E686" s="1"/>
      <c r="F686" s="1"/>
      <c r="G686" s="1"/>
    </row>
    <row r="687" spans="2:7">
      <c r="B687" s="1"/>
      <c r="E687" s="1"/>
      <c r="F687" s="1"/>
      <c r="G687" s="1"/>
    </row>
    <row r="688" spans="2:7">
      <c r="B688" s="1"/>
      <c r="E688" s="1"/>
      <c r="F688" s="1"/>
      <c r="G688" s="1"/>
    </row>
    <row r="689" spans="2:7">
      <c r="B689" s="1"/>
      <c r="E689" s="1"/>
      <c r="F689" s="1"/>
      <c r="G689" s="1"/>
    </row>
    <row r="690" spans="2:7">
      <c r="B690" s="1"/>
      <c r="E690" s="1"/>
      <c r="F690" s="1"/>
      <c r="G690" s="1"/>
    </row>
    <row r="691" spans="2:7">
      <c r="B691" s="1"/>
      <c r="E691" s="1"/>
      <c r="F691" s="1"/>
      <c r="G691" s="1"/>
    </row>
    <row r="692" spans="2:7">
      <c r="B692" s="1"/>
      <c r="E692" s="1"/>
      <c r="F692" s="1"/>
      <c r="G692" s="1"/>
    </row>
    <row r="693" spans="2:7">
      <c r="B693" s="1"/>
      <c r="E693" s="1"/>
      <c r="F693" s="1"/>
      <c r="G693" s="1"/>
    </row>
    <row r="694" spans="2:7">
      <c r="B694" s="1"/>
      <c r="E694" s="1"/>
      <c r="F694" s="1"/>
      <c r="G694" s="1"/>
    </row>
    <row r="695" spans="2:7">
      <c r="B695" s="1"/>
      <c r="E695" s="1"/>
      <c r="F695" s="1"/>
      <c r="G695" s="1"/>
    </row>
    <row r="696" spans="2:7">
      <c r="B696" s="1"/>
      <c r="E696" s="1"/>
      <c r="F696" s="1"/>
      <c r="G696" s="1"/>
    </row>
    <row r="697" spans="2:7">
      <c r="B697" s="1"/>
      <c r="E697" s="1"/>
      <c r="F697" s="1"/>
      <c r="G697" s="1"/>
    </row>
    <row r="698" spans="2:7">
      <c r="B698" s="1"/>
      <c r="E698" s="1"/>
      <c r="F698" s="1"/>
      <c r="G698" s="1"/>
    </row>
    <row r="699" spans="2:7">
      <c r="B699" s="1"/>
      <c r="E699" s="1"/>
      <c r="F699" s="1"/>
      <c r="G699" s="1"/>
    </row>
    <row r="700" spans="2:7">
      <c r="B700" s="1"/>
      <c r="E700" s="1"/>
      <c r="F700" s="1"/>
      <c r="G700" s="1"/>
    </row>
    <row r="701" spans="2:7">
      <c r="B701" s="1"/>
      <c r="E701" s="1"/>
      <c r="F701" s="1"/>
      <c r="G701" s="1"/>
    </row>
    <row r="702" spans="2:7">
      <c r="B702" s="1"/>
      <c r="E702" s="1"/>
      <c r="F702" s="1"/>
      <c r="G702" s="1"/>
    </row>
    <row r="703" spans="2:7">
      <c r="B703" s="1"/>
      <c r="E703" s="1"/>
      <c r="F703" s="1"/>
      <c r="G703" s="1"/>
    </row>
    <row r="704" spans="2:7">
      <c r="B704" s="1"/>
      <c r="E704" s="1"/>
      <c r="F704" s="1"/>
      <c r="G704" s="1"/>
    </row>
    <row r="705" spans="2:7">
      <c r="B705" s="1"/>
      <c r="E705" s="1"/>
      <c r="F705" s="1"/>
      <c r="G705" s="1"/>
    </row>
    <row r="706" spans="2:7">
      <c r="B706" s="1"/>
      <c r="E706" s="1"/>
      <c r="F706" s="1"/>
      <c r="G706" s="1"/>
    </row>
    <row r="707" spans="2:7">
      <c r="B707" s="1"/>
      <c r="E707" s="1"/>
      <c r="F707" s="1"/>
      <c r="G707" s="1"/>
    </row>
    <row r="708" spans="2:7">
      <c r="B708" s="1"/>
      <c r="E708" s="1"/>
      <c r="F708" s="1"/>
      <c r="G708" s="1"/>
    </row>
    <row r="709" spans="2:7">
      <c r="B709" s="1"/>
      <c r="E709" s="1"/>
      <c r="F709" s="1"/>
      <c r="G709" s="1"/>
    </row>
    <row r="710" spans="2:7">
      <c r="B710" s="1"/>
      <c r="E710" s="1"/>
      <c r="F710" s="1"/>
      <c r="G710" s="1"/>
    </row>
    <row r="711" spans="2:7">
      <c r="B711" s="1"/>
      <c r="E711" s="1"/>
      <c r="F711" s="1"/>
      <c r="G711" s="1"/>
    </row>
    <row r="712" spans="2:7">
      <c r="B712" s="1"/>
      <c r="E712" s="1"/>
      <c r="F712" s="1"/>
      <c r="G712" s="1"/>
    </row>
    <row r="713" spans="2:7">
      <c r="B713" s="1"/>
      <c r="E713" s="1"/>
      <c r="F713" s="1"/>
      <c r="G713" s="1"/>
    </row>
    <row r="714" spans="2:7">
      <c r="B714" s="1"/>
      <c r="E714" s="1"/>
      <c r="F714" s="1"/>
      <c r="G714" s="1"/>
    </row>
    <row r="715" spans="2:7">
      <c r="B715" s="1"/>
      <c r="E715" s="1"/>
      <c r="F715" s="1"/>
      <c r="G715" s="1"/>
    </row>
    <row r="716" spans="2:7">
      <c r="B716" s="1"/>
      <c r="E716" s="1"/>
      <c r="F716" s="1"/>
      <c r="G716" s="1"/>
    </row>
    <row r="717" spans="2:7">
      <c r="B717" s="1"/>
      <c r="E717" s="1"/>
      <c r="F717" s="1"/>
      <c r="G717" s="1"/>
    </row>
    <row r="718" spans="2:7">
      <c r="B718" s="1"/>
      <c r="E718" s="1"/>
      <c r="F718" s="1"/>
      <c r="G718" s="1"/>
    </row>
    <row r="719" spans="2:7">
      <c r="B719" s="1"/>
      <c r="E719" s="1"/>
      <c r="F719" s="1"/>
      <c r="G719" s="1"/>
    </row>
    <row r="720" spans="2:7">
      <c r="B720" s="1"/>
      <c r="E720" s="1"/>
      <c r="F720" s="1"/>
      <c r="G720" s="1"/>
    </row>
    <row r="721" spans="2:7">
      <c r="B721" s="1"/>
      <c r="E721" s="1"/>
      <c r="F721" s="1"/>
      <c r="G721" s="1"/>
    </row>
    <row r="722" spans="2:7">
      <c r="B722" s="1"/>
      <c r="E722" s="1"/>
      <c r="F722" s="1"/>
      <c r="G722" s="1"/>
    </row>
    <row r="723" spans="2:7">
      <c r="B723" s="1"/>
      <c r="E723" s="1"/>
      <c r="F723" s="1"/>
      <c r="G723" s="1"/>
    </row>
    <row r="724" spans="2:7">
      <c r="B724" s="1"/>
      <c r="E724" s="1"/>
      <c r="F724" s="1"/>
      <c r="G724" s="1"/>
    </row>
    <row r="725" spans="2:7">
      <c r="B725" s="1"/>
      <c r="E725" s="1"/>
      <c r="F725" s="1"/>
      <c r="G725" s="1"/>
    </row>
    <row r="726" spans="2:7">
      <c r="B726" s="1"/>
      <c r="E726" s="1"/>
      <c r="F726" s="1"/>
      <c r="G726" s="1"/>
    </row>
    <row r="727" spans="2:7">
      <c r="B727" s="1"/>
      <c r="E727" s="1"/>
      <c r="F727" s="1"/>
      <c r="G727" s="1"/>
    </row>
    <row r="728" spans="2:7">
      <c r="B728" s="1"/>
      <c r="E728" s="1"/>
      <c r="F728" s="1"/>
      <c r="G728" s="1"/>
    </row>
    <row r="729" spans="2:7">
      <c r="B729" s="1"/>
      <c r="E729" s="1"/>
      <c r="F729" s="1"/>
      <c r="G729" s="1"/>
    </row>
    <row r="730" spans="2:7">
      <c r="B730" s="1"/>
      <c r="E730" s="1"/>
      <c r="F730" s="1"/>
      <c r="G730" s="1"/>
    </row>
    <row r="731" spans="2:7">
      <c r="B731" s="1"/>
      <c r="E731" s="1"/>
      <c r="F731" s="1"/>
      <c r="G731" s="1"/>
    </row>
    <row r="732" spans="2:7">
      <c r="B732" s="1"/>
      <c r="E732" s="1"/>
      <c r="F732" s="1"/>
      <c r="G732" s="1"/>
    </row>
    <row r="733" spans="2:7">
      <c r="B733" s="1"/>
      <c r="E733" s="1"/>
      <c r="F733" s="1"/>
      <c r="G733" s="1"/>
    </row>
    <row r="734" spans="2:7">
      <c r="B734" s="1"/>
      <c r="E734" s="1"/>
      <c r="F734" s="1"/>
      <c r="G734" s="1"/>
    </row>
    <row r="735" spans="2:7">
      <c r="B735" s="1"/>
      <c r="E735" s="1"/>
      <c r="F735" s="1"/>
      <c r="G735" s="1"/>
    </row>
    <row r="736" spans="2:7">
      <c r="B736" s="1"/>
      <c r="E736" s="1"/>
      <c r="F736" s="1"/>
      <c r="G736" s="1"/>
    </row>
    <row r="737" spans="2:7">
      <c r="B737" s="1"/>
      <c r="E737" s="1"/>
      <c r="F737" s="1"/>
      <c r="G737" s="1"/>
    </row>
    <row r="738" spans="2:7">
      <c r="B738" s="1"/>
      <c r="E738" s="1"/>
      <c r="F738" s="1"/>
      <c r="G738" s="1"/>
    </row>
    <row r="739" spans="2:7">
      <c r="B739" s="1"/>
      <c r="E739" s="1"/>
      <c r="F739" s="1"/>
      <c r="G739" s="1"/>
    </row>
    <row r="740" spans="2:7">
      <c r="B740" s="1"/>
      <c r="E740" s="1"/>
      <c r="F740" s="1"/>
      <c r="G740" s="1"/>
    </row>
    <row r="741" spans="2:7">
      <c r="B741" s="1"/>
      <c r="E741" s="1"/>
      <c r="F741" s="1"/>
      <c r="G741" s="1"/>
    </row>
    <row r="742" spans="2:7">
      <c r="B742" s="1"/>
      <c r="E742" s="1"/>
      <c r="F742" s="1"/>
      <c r="G742" s="1"/>
    </row>
    <row r="743" spans="2:7">
      <c r="B743" s="1"/>
      <c r="E743" s="1"/>
      <c r="F743" s="1"/>
      <c r="G743" s="1"/>
    </row>
    <row r="744" spans="2:7">
      <c r="B744" s="1"/>
      <c r="E744" s="1"/>
      <c r="F744" s="1"/>
      <c r="G744" s="1"/>
    </row>
    <row r="745" spans="2:7">
      <c r="B745" s="1"/>
      <c r="E745" s="1"/>
      <c r="F745" s="1"/>
      <c r="G745" s="1"/>
    </row>
    <row r="746" spans="2:7">
      <c r="B746" s="1"/>
      <c r="E746" s="1"/>
      <c r="F746" s="1"/>
      <c r="G746" s="1"/>
    </row>
    <row r="747" spans="2:7">
      <c r="B747" s="1"/>
      <c r="E747" s="1"/>
      <c r="F747" s="1"/>
      <c r="G747" s="1"/>
    </row>
    <row r="748" spans="2:7">
      <c r="B748" s="1"/>
      <c r="E748" s="1"/>
      <c r="F748" s="1"/>
      <c r="G748" s="1"/>
    </row>
    <row r="749" spans="2:7">
      <c r="B749" s="1"/>
      <c r="E749" s="1"/>
      <c r="F749" s="1"/>
      <c r="G749" s="1"/>
    </row>
    <row r="750" spans="2:7">
      <c r="B750" s="1"/>
      <c r="E750" s="1"/>
      <c r="F750" s="1"/>
      <c r="G750" s="1"/>
    </row>
    <row r="751" spans="2:7">
      <c r="B751" s="1"/>
      <c r="E751" s="1"/>
      <c r="F751" s="1"/>
      <c r="G751" s="1"/>
    </row>
    <row r="752" spans="2:7">
      <c r="B752" s="1"/>
      <c r="E752" s="1"/>
      <c r="F752" s="1"/>
      <c r="G752" s="1"/>
    </row>
    <row r="753" spans="2:7">
      <c r="B753" s="1"/>
      <c r="E753" s="1"/>
      <c r="F753" s="1"/>
      <c r="G753" s="1"/>
    </row>
    <row r="754" spans="2:7">
      <c r="B754" s="1"/>
      <c r="E754" s="1"/>
      <c r="F754" s="1"/>
      <c r="G754" s="1"/>
    </row>
    <row r="755" spans="2:7">
      <c r="B755" s="1"/>
      <c r="E755" s="1"/>
      <c r="F755" s="1"/>
      <c r="G755" s="1"/>
    </row>
    <row r="756" spans="2:7">
      <c r="B756" s="1"/>
      <c r="E756" s="1"/>
      <c r="F756" s="1"/>
      <c r="G756" s="1"/>
    </row>
    <row r="757" spans="2:7">
      <c r="B757" s="1"/>
      <c r="E757" s="1"/>
      <c r="F757" s="1"/>
      <c r="G757" s="1"/>
    </row>
    <row r="758" spans="2:7">
      <c r="B758" s="1"/>
      <c r="E758" s="1"/>
      <c r="F758" s="1"/>
      <c r="G758" s="1"/>
    </row>
    <row r="759" spans="2:7">
      <c r="B759" s="1"/>
      <c r="E759" s="1"/>
      <c r="F759" s="1"/>
      <c r="G759" s="1"/>
    </row>
    <row r="760" spans="2:7">
      <c r="B760" s="1"/>
      <c r="E760" s="1"/>
      <c r="F760" s="1"/>
      <c r="G760" s="1"/>
    </row>
    <row r="761" spans="2:7">
      <c r="B761" s="1"/>
      <c r="E761" s="1"/>
      <c r="F761" s="1"/>
      <c r="G761" s="1"/>
    </row>
    <row r="762" spans="2:7">
      <c r="B762" s="1"/>
      <c r="E762" s="1"/>
      <c r="F762" s="1"/>
      <c r="G762" s="1"/>
    </row>
    <row r="763" spans="2:7">
      <c r="B763" s="1"/>
      <c r="E763" s="1"/>
      <c r="F763" s="1"/>
      <c r="G763" s="1"/>
    </row>
    <row r="764" spans="2:7">
      <c r="B764" s="1"/>
      <c r="E764" s="1"/>
      <c r="F764" s="1"/>
      <c r="G764" s="1"/>
    </row>
    <row r="765" spans="2:7">
      <c r="B765" s="1"/>
      <c r="E765" s="1"/>
      <c r="F765" s="1"/>
      <c r="G765" s="1"/>
    </row>
    <row r="766" spans="2:7">
      <c r="B766" s="1"/>
      <c r="E766" s="1"/>
      <c r="F766" s="1"/>
      <c r="G766" s="1"/>
    </row>
    <row r="767" spans="2:7">
      <c r="B767" s="1"/>
      <c r="E767" s="1"/>
      <c r="F767" s="1"/>
      <c r="G767" s="1"/>
    </row>
    <row r="768" spans="2:7">
      <c r="B768" s="1"/>
      <c r="E768" s="1"/>
      <c r="F768" s="1"/>
      <c r="G768" s="1"/>
    </row>
    <row r="769" spans="2:7">
      <c r="B769" s="1"/>
      <c r="E769" s="1"/>
      <c r="F769" s="1"/>
      <c r="G769" s="1"/>
    </row>
    <row r="770" spans="2:7">
      <c r="B770" s="1"/>
      <c r="E770" s="1"/>
      <c r="F770" s="1"/>
      <c r="G770" s="1"/>
    </row>
    <row r="771" spans="2:7">
      <c r="B771" s="1"/>
      <c r="E771" s="1"/>
      <c r="F771" s="1"/>
      <c r="G771" s="1"/>
    </row>
    <row r="772" spans="2:7">
      <c r="B772" s="1"/>
      <c r="E772" s="1"/>
      <c r="F772" s="1"/>
      <c r="G772" s="1"/>
    </row>
    <row r="773" spans="2:7">
      <c r="B773" s="1"/>
      <c r="E773" s="1"/>
      <c r="F773" s="1"/>
      <c r="G773" s="1"/>
    </row>
    <row r="774" spans="2:7">
      <c r="B774" s="1"/>
      <c r="E774" s="1"/>
      <c r="F774" s="1"/>
      <c r="G774" s="1"/>
    </row>
    <row r="775" spans="2:7">
      <c r="B775" s="1"/>
      <c r="E775" s="1"/>
      <c r="F775" s="1"/>
      <c r="G775" s="1"/>
    </row>
    <row r="776" spans="2:7">
      <c r="B776" s="1"/>
      <c r="E776" s="1"/>
      <c r="F776" s="1"/>
      <c r="G776" s="1"/>
    </row>
    <row r="777" spans="2:7">
      <c r="B777" s="1"/>
      <c r="E777" s="1"/>
      <c r="F777" s="1"/>
      <c r="G777" s="1"/>
    </row>
    <row r="778" spans="2:7">
      <c r="B778" s="1"/>
      <c r="E778" s="1"/>
      <c r="F778" s="1"/>
      <c r="G778" s="1"/>
    </row>
    <row r="779" spans="2:7">
      <c r="B779" s="1"/>
      <c r="E779" s="1"/>
      <c r="F779" s="1"/>
      <c r="G779" s="1"/>
    </row>
    <row r="780" spans="2:7">
      <c r="B780" s="1"/>
      <c r="E780" s="1"/>
      <c r="F780" s="1"/>
      <c r="G780" s="1"/>
    </row>
    <row r="781" spans="2:7">
      <c r="B781" s="1"/>
      <c r="E781" s="1"/>
      <c r="F781" s="1"/>
      <c r="G781" s="1"/>
    </row>
    <row r="782" spans="2:7">
      <c r="B782" s="1"/>
      <c r="E782" s="1"/>
      <c r="F782" s="1"/>
      <c r="G782" s="1"/>
    </row>
    <row r="783" spans="2:7">
      <c r="B783" s="1"/>
      <c r="E783" s="1"/>
      <c r="F783" s="1"/>
      <c r="G783" s="1"/>
    </row>
    <row r="784" spans="2:7">
      <c r="B784" s="1"/>
      <c r="E784" s="1"/>
      <c r="F784" s="1"/>
      <c r="G784" s="1"/>
    </row>
    <row r="785" spans="2:7">
      <c r="B785" s="1"/>
      <c r="E785" s="1"/>
      <c r="F785" s="1"/>
      <c r="G785" s="1"/>
    </row>
    <row r="786" spans="2:7">
      <c r="B786" s="1"/>
      <c r="E786" s="1"/>
      <c r="F786" s="1"/>
      <c r="G786" s="1"/>
    </row>
    <row r="787" spans="2:7">
      <c r="B787" s="1"/>
      <c r="E787" s="1"/>
      <c r="F787" s="1"/>
      <c r="G787" s="1"/>
    </row>
    <row r="788" spans="2:7">
      <c r="B788" s="1"/>
      <c r="E788" s="1"/>
      <c r="F788" s="1"/>
      <c r="G788" s="1"/>
    </row>
    <row r="789" spans="2:7">
      <c r="B789" s="1"/>
      <c r="E789" s="1"/>
      <c r="F789" s="1"/>
      <c r="G789" s="1"/>
    </row>
    <row r="790" spans="2:7">
      <c r="B790" s="1"/>
      <c r="E790" s="1"/>
      <c r="F790" s="1"/>
      <c r="G790" s="1"/>
    </row>
    <row r="791" spans="2:7">
      <c r="B791" s="1"/>
      <c r="E791" s="1"/>
      <c r="F791" s="1"/>
      <c r="G791" s="1"/>
    </row>
    <row r="792" spans="2:7">
      <c r="B792" s="1"/>
      <c r="E792" s="1"/>
      <c r="F792" s="1"/>
      <c r="G792" s="1"/>
    </row>
    <row r="793" spans="2:7">
      <c r="B793" s="1"/>
      <c r="E793" s="1"/>
      <c r="F793" s="1"/>
      <c r="G793" s="1"/>
    </row>
    <row r="794" spans="2:7">
      <c r="B794" s="1"/>
      <c r="E794" s="1"/>
      <c r="F794" s="1"/>
      <c r="G794" s="1"/>
    </row>
    <row r="795" spans="2:7">
      <c r="B795" s="1"/>
      <c r="E795" s="1"/>
      <c r="F795" s="1"/>
      <c r="G795" s="1"/>
    </row>
    <row r="796" spans="2:7">
      <c r="B796" s="1"/>
      <c r="E796" s="1"/>
      <c r="F796" s="1"/>
      <c r="G796" s="1"/>
    </row>
    <row r="797" spans="2:7">
      <c r="B797" s="1"/>
      <c r="E797" s="1"/>
      <c r="F797" s="1"/>
      <c r="G797" s="1"/>
    </row>
    <row r="798" spans="2:7">
      <c r="B798" s="1"/>
      <c r="E798" s="1"/>
      <c r="F798" s="1"/>
      <c r="G798" s="1"/>
    </row>
    <row r="799" spans="2:7">
      <c r="B799" s="1"/>
      <c r="E799" s="1"/>
      <c r="F799" s="1"/>
      <c r="G799" s="1"/>
    </row>
    <row r="800" spans="2:7">
      <c r="B800" s="1"/>
      <c r="E800" s="1"/>
      <c r="F800" s="1"/>
      <c r="G800" s="1"/>
    </row>
    <row r="801" spans="2:7">
      <c r="B801" s="1"/>
      <c r="E801" s="1"/>
      <c r="F801" s="1"/>
      <c r="G801" s="1"/>
    </row>
    <row r="802" spans="2:7">
      <c r="B802" s="1"/>
      <c r="E802" s="1"/>
      <c r="F802" s="1"/>
      <c r="G802" s="1"/>
    </row>
    <row r="803" spans="2:7">
      <c r="B803" s="1"/>
      <c r="E803" s="1"/>
      <c r="F803" s="1"/>
      <c r="G803" s="1"/>
    </row>
    <row r="804" spans="2:7">
      <c r="B804" s="1"/>
      <c r="E804" s="1"/>
      <c r="F804" s="1"/>
      <c r="G804" s="1"/>
    </row>
    <row r="805" spans="2:7">
      <c r="B805" s="1"/>
      <c r="E805" s="1"/>
      <c r="F805" s="1"/>
      <c r="G805" s="1"/>
    </row>
    <row r="806" spans="2:7">
      <c r="B806" s="1"/>
      <c r="E806" s="1"/>
      <c r="F806" s="1"/>
      <c r="G806" s="1"/>
    </row>
    <row r="807" spans="2:7">
      <c r="B807" s="1"/>
      <c r="E807" s="1"/>
      <c r="F807" s="1"/>
      <c r="G807" s="1"/>
    </row>
    <row r="808" spans="2:7">
      <c r="B808" s="1"/>
      <c r="E808" s="1"/>
      <c r="F808" s="1"/>
      <c r="G808" s="1"/>
    </row>
    <row r="809" spans="2:7">
      <c r="B809" s="1"/>
      <c r="E809" s="1"/>
      <c r="F809" s="1"/>
      <c r="G809" s="1"/>
    </row>
    <row r="810" spans="2:7">
      <c r="B810" s="1"/>
      <c r="E810" s="1"/>
      <c r="F810" s="1"/>
      <c r="G810" s="1"/>
    </row>
    <row r="811" spans="2:7">
      <c r="B811" s="1"/>
      <c r="E811" s="1"/>
      <c r="F811" s="1"/>
      <c r="G811" s="1"/>
    </row>
    <row r="812" spans="2:7">
      <c r="B812" s="1"/>
      <c r="E812" s="1"/>
      <c r="F812" s="1"/>
      <c r="G812" s="1"/>
    </row>
    <row r="813" spans="2:7">
      <c r="B813" s="1"/>
      <c r="E813" s="1"/>
      <c r="F813" s="1"/>
      <c r="G813" s="1"/>
    </row>
    <row r="814" spans="2:7">
      <c r="B814" s="1"/>
      <c r="E814" s="1"/>
      <c r="F814" s="1"/>
      <c r="G814" s="1"/>
    </row>
    <row r="815" spans="2:7">
      <c r="B815" s="1"/>
      <c r="E815" s="1"/>
      <c r="F815" s="1"/>
      <c r="G815" s="1"/>
    </row>
    <row r="816" spans="2:7">
      <c r="B816" s="1"/>
      <c r="E816" s="1"/>
      <c r="F816" s="1"/>
      <c r="G816" s="1"/>
    </row>
    <row r="817" spans="2:7">
      <c r="B817" s="1"/>
      <c r="E817" s="1"/>
      <c r="F817" s="1"/>
      <c r="G817" s="1"/>
    </row>
    <row r="818" spans="2:7">
      <c r="B818" s="1"/>
      <c r="E818" s="1"/>
      <c r="F818" s="1"/>
      <c r="G818" s="1"/>
    </row>
    <row r="819" spans="2:7">
      <c r="B819" s="1"/>
      <c r="E819" s="1"/>
      <c r="F819" s="1"/>
      <c r="G819" s="1"/>
    </row>
    <row r="820" spans="2:7">
      <c r="B820" s="1"/>
      <c r="E820" s="1"/>
      <c r="F820" s="1"/>
      <c r="G820" s="1"/>
    </row>
    <row r="821" spans="2:7">
      <c r="B821" s="1"/>
      <c r="E821" s="1"/>
      <c r="F821" s="1"/>
      <c r="G821" s="1"/>
    </row>
    <row r="822" spans="2:7">
      <c r="B822" s="1"/>
      <c r="E822" s="1"/>
      <c r="F822" s="1"/>
      <c r="G822" s="1"/>
    </row>
    <row r="823" spans="2:7">
      <c r="B823" s="1"/>
      <c r="E823" s="1"/>
      <c r="F823" s="1"/>
      <c r="G823" s="1"/>
    </row>
    <row r="824" spans="2:7">
      <c r="B824" s="1"/>
      <c r="E824" s="1"/>
      <c r="F824" s="1"/>
      <c r="G824" s="1"/>
    </row>
    <row r="825" spans="2:7">
      <c r="B825" s="1"/>
      <c r="E825" s="1"/>
      <c r="F825" s="1"/>
      <c r="G825" s="1"/>
    </row>
    <row r="826" spans="2:7">
      <c r="B826" s="1"/>
      <c r="E826" s="1"/>
      <c r="F826" s="1"/>
      <c r="G826" s="1"/>
    </row>
    <row r="827" spans="2:7">
      <c r="B827" s="1"/>
      <c r="E827" s="1"/>
      <c r="F827" s="1"/>
      <c r="G827" s="1"/>
    </row>
    <row r="828" spans="2:7">
      <c r="B828" s="1"/>
      <c r="E828" s="1"/>
      <c r="F828" s="1"/>
      <c r="G828" s="1"/>
    </row>
    <row r="829" spans="2:7">
      <c r="B829" s="1"/>
      <c r="E829" s="1"/>
      <c r="F829" s="1"/>
      <c r="G829" s="1"/>
    </row>
    <row r="830" spans="2:7">
      <c r="B830" s="1"/>
      <c r="E830" s="1"/>
      <c r="F830" s="1"/>
      <c r="G830" s="1"/>
    </row>
    <row r="831" spans="2:7">
      <c r="B831" s="1"/>
      <c r="E831" s="1"/>
      <c r="F831" s="1"/>
      <c r="G831" s="1"/>
    </row>
    <row r="832" spans="2:7">
      <c r="B832" s="1"/>
      <c r="E832" s="1"/>
      <c r="F832" s="1"/>
      <c r="G832" s="1"/>
    </row>
    <row r="833" spans="2:7">
      <c r="B833" s="1"/>
      <c r="E833" s="1"/>
      <c r="F833" s="1"/>
      <c r="G833" s="1"/>
    </row>
    <row r="834" spans="2:7">
      <c r="B834" s="1"/>
      <c r="E834" s="1"/>
      <c r="F834" s="1"/>
      <c r="G834" s="1"/>
    </row>
    <row r="835" spans="2:7">
      <c r="B835" s="1"/>
      <c r="E835" s="1"/>
      <c r="F835" s="1"/>
      <c r="G835" s="1"/>
    </row>
    <row r="836" spans="2:7">
      <c r="B836" s="1"/>
      <c r="E836" s="1"/>
      <c r="F836" s="1"/>
      <c r="G836" s="1"/>
    </row>
    <row r="837" spans="2:7">
      <c r="B837" s="1"/>
      <c r="E837" s="1"/>
      <c r="F837" s="1"/>
      <c r="G837" s="1"/>
    </row>
    <row r="838" spans="2:7">
      <c r="B838" s="1"/>
      <c r="E838" s="1"/>
      <c r="F838" s="1"/>
      <c r="G838" s="1"/>
    </row>
    <row r="839" spans="2:7">
      <c r="B839" s="1"/>
      <c r="E839" s="1"/>
      <c r="F839" s="1"/>
      <c r="G839" s="1"/>
    </row>
    <row r="840" spans="2:7">
      <c r="B840" s="1"/>
      <c r="E840" s="1"/>
      <c r="F840" s="1"/>
      <c r="G840" s="1"/>
    </row>
    <row r="841" spans="2:7">
      <c r="B841" s="1"/>
      <c r="E841" s="1"/>
      <c r="F841" s="1"/>
      <c r="G841" s="1"/>
    </row>
    <row r="842" spans="2:7">
      <c r="B842" s="1"/>
      <c r="E842" s="1"/>
      <c r="F842" s="1"/>
      <c r="G842" s="1"/>
    </row>
    <row r="843" spans="2:7">
      <c r="B843" s="1"/>
      <c r="E843" s="1"/>
      <c r="F843" s="1"/>
      <c r="G843" s="1"/>
    </row>
    <row r="844" spans="2:7">
      <c r="B844" s="1"/>
      <c r="E844" s="1"/>
      <c r="F844" s="1"/>
      <c r="G844" s="1"/>
    </row>
    <row r="845" spans="2:7">
      <c r="B845" s="1"/>
      <c r="E845" s="1"/>
      <c r="F845" s="1"/>
      <c r="G845" s="1"/>
    </row>
    <row r="846" spans="2:7">
      <c r="B846" s="1"/>
      <c r="E846" s="1"/>
      <c r="F846" s="1"/>
      <c r="G846" s="1"/>
    </row>
    <row r="847" spans="2:7">
      <c r="B847" s="1"/>
      <c r="E847" s="1"/>
      <c r="F847" s="1"/>
      <c r="G847" s="1"/>
    </row>
    <row r="848" spans="2:7">
      <c r="B848" s="1"/>
      <c r="E848" s="1"/>
      <c r="F848" s="1"/>
      <c r="G848" s="1"/>
    </row>
    <row r="849" spans="2:7">
      <c r="B849" s="1"/>
      <c r="E849" s="1"/>
      <c r="F849" s="1"/>
      <c r="G849" s="1"/>
    </row>
    <row r="850" spans="2:7">
      <c r="B850" s="1"/>
      <c r="E850" s="1"/>
      <c r="F850" s="1"/>
      <c r="G850" s="1"/>
    </row>
    <row r="851" spans="2:7">
      <c r="B851" s="1"/>
      <c r="E851" s="1"/>
      <c r="F851" s="1"/>
      <c r="G851" s="1"/>
    </row>
    <row r="852" spans="2:7">
      <c r="B852" s="1"/>
      <c r="E852" s="1"/>
      <c r="F852" s="1"/>
      <c r="G852" s="1"/>
    </row>
    <row r="853" spans="2:7">
      <c r="B853" s="1"/>
      <c r="E853" s="1"/>
      <c r="F853" s="1"/>
      <c r="G853" s="1"/>
    </row>
    <row r="854" spans="2:7">
      <c r="B854" s="1"/>
      <c r="E854" s="1"/>
      <c r="F854" s="1"/>
      <c r="G854" s="1"/>
    </row>
    <row r="855" spans="2:7">
      <c r="B855" s="1"/>
      <c r="E855" s="1"/>
      <c r="F855" s="1"/>
      <c r="G855" s="1"/>
    </row>
    <row r="856" spans="2:7">
      <c r="B856" s="1"/>
      <c r="E856" s="1"/>
      <c r="F856" s="1"/>
      <c r="G856" s="1"/>
    </row>
    <row r="857" spans="2:7">
      <c r="B857" s="1"/>
      <c r="E857" s="1"/>
      <c r="F857" s="1"/>
      <c r="G857" s="1"/>
    </row>
    <row r="858" spans="2:7">
      <c r="B858" s="1"/>
      <c r="E858" s="1"/>
      <c r="F858" s="1"/>
      <c r="G858" s="1"/>
    </row>
    <row r="859" spans="2:7">
      <c r="B859" s="1"/>
      <c r="E859" s="1"/>
      <c r="F859" s="1"/>
      <c r="G859" s="1"/>
    </row>
    <row r="860" spans="2:7">
      <c r="B860" s="1"/>
      <c r="E860" s="1"/>
      <c r="F860" s="1"/>
      <c r="G860" s="1"/>
    </row>
    <row r="861" spans="2:7">
      <c r="B861" s="1"/>
      <c r="E861" s="1"/>
      <c r="F861" s="1"/>
      <c r="G861" s="1"/>
    </row>
    <row r="862" spans="2:7">
      <c r="B862" s="1"/>
      <c r="E862" s="1"/>
      <c r="F862" s="1"/>
      <c r="G862" s="1"/>
    </row>
    <row r="863" spans="2:7">
      <c r="B863" s="1"/>
      <c r="E863" s="1"/>
      <c r="F863" s="1"/>
      <c r="G863" s="1"/>
    </row>
    <row r="864" spans="2:7">
      <c r="B864" s="1"/>
      <c r="E864" s="1"/>
      <c r="F864" s="1"/>
      <c r="G864" s="1"/>
    </row>
    <row r="865" spans="2:7">
      <c r="B865" s="1"/>
      <c r="E865" s="1"/>
      <c r="F865" s="1"/>
      <c r="G865" s="1"/>
    </row>
    <row r="866" spans="2:7">
      <c r="B866" s="1"/>
      <c r="E866" s="1"/>
      <c r="F866" s="1"/>
      <c r="G866" s="1"/>
    </row>
    <row r="867" spans="2:7">
      <c r="B867" s="1"/>
      <c r="E867" s="1"/>
      <c r="F867" s="1"/>
      <c r="G867" s="1"/>
    </row>
    <row r="868" spans="2:7">
      <c r="B868" s="1"/>
      <c r="E868" s="1"/>
      <c r="F868" s="1"/>
      <c r="G868" s="1"/>
    </row>
    <row r="869" spans="2:7">
      <c r="B869" s="1"/>
      <c r="E869" s="1"/>
      <c r="F869" s="1"/>
      <c r="G869" s="1"/>
    </row>
    <row r="870" spans="2:7">
      <c r="B870" s="1"/>
      <c r="E870" s="1"/>
      <c r="F870" s="1"/>
      <c r="G870" s="1"/>
    </row>
    <row r="871" spans="2:7">
      <c r="B871" s="1"/>
      <c r="E871" s="1"/>
      <c r="F871" s="1"/>
      <c r="G871" s="1"/>
    </row>
    <row r="872" spans="2:7">
      <c r="B872" s="1"/>
      <c r="E872" s="1"/>
      <c r="F872" s="1"/>
      <c r="G872" s="1"/>
    </row>
    <row r="873" spans="2:7">
      <c r="B873" s="1"/>
      <c r="E873" s="1"/>
      <c r="F873" s="1"/>
      <c r="G873" s="1"/>
    </row>
    <row r="874" spans="2:7">
      <c r="B874" s="1"/>
      <c r="E874" s="1"/>
      <c r="F874" s="1"/>
      <c r="G874" s="1"/>
    </row>
    <row r="875" spans="2:7">
      <c r="B875" s="1"/>
      <c r="E875" s="1"/>
      <c r="F875" s="1"/>
      <c r="G875" s="1"/>
    </row>
    <row r="876" spans="2:7">
      <c r="B876" s="1"/>
      <c r="E876" s="1"/>
      <c r="F876" s="1"/>
      <c r="G876" s="1"/>
    </row>
    <row r="877" spans="2:7">
      <c r="B877" s="1"/>
      <c r="E877" s="1"/>
      <c r="F877" s="1"/>
      <c r="G877" s="1"/>
    </row>
    <row r="878" spans="2:7">
      <c r="B878" s="1"/>
      <c r="E878" s="1"/>
      <c r="F878" s="1"/>
      <c r="G878" s="1"/>
    </row>
    <row r="879" spans="2:7">
      <c r="B879" s="1"/>
      <c r="E879" s="1"/>
      <c r="F879" s="1"/>
      <c r="G879" s="1"/>
    </row>
    <row r="880" spans="2:7">
      <c r="B880" s="1"/>
      <c r="E880" s="1"/>
      <c r="F880" s="1"/>
      <c r="G880" s="1"/>
    </row>
    <row r="881" spans="2:7">
      <c r="B881" s="1"/>
      <c r="E881" s="1"/>
      <c r="F881" s="1"/>
      <c r="G881" s="1"/>
    </row>
    <row r="882" spans="2:7">
      <c r="B882" s="1"/>
      <c r="E882" s="1"/>
      <c r="F882" s="1"/>
      <c r="G882" s="1"/>
    </row>
    <row r="883" spans="2:7">
      <c r="B883" s="1"/>
      <c r="E883" s="1"/>
      <c r="F883" s="1"/>
      <c r="G883" s="1"/>
    </row>
    <row r="884" spans="2:7">
      <c r="B884" s="1"/>
      <c r="E884" s="1"/>
      <c r="F884" s="1"/>
      <c r="G884" s="1"/>
    </row>
    <row r="885" spans="2:7">
      <c r="B885" s="1"/>
      <c r="E885" s="1"/>
      <c r="F885" s="1"/>
      <c r="G885" s="1"/>
    </row>
    <row r="886" spans="2:7">
      <c r="B886" s="1"/>
      <c r="E886" s="1"/>
      <c r="F886" s="1"/>
      <c r="G886" s="1"/>
    </row>
    <row r="887" spans="2:7">
      <c r="B887" s="1"/>
      <c r="E887" s="1"/>
      <c r="F887" s="1"/>
      <c r="G887" s="1"/>
    </row>
    <row r="888" spans="2:7">
      <c r="B888" s="1"/>
      <c r="E888" s="1"/>
      <c r="F888" s="1"/>
      <c r="G888" s="1"/>
    </row>
    <row r="889" spans="2:7">
      <c r="B889" s="1"/>
      <c r="E889" s="1"/>
      <c r="F889" s="1"/>
      <c r="G889" s="1"/>
    </row>
    <row r="890" spans="2:7">
      <c r="B890" s="1"/>
      <c r="E890" s="1"/>
      <c r="F890" s="1"/>
      <c r="G890" s="1"/>
    </row>
    <row r="891" spans="2:7">
      <c r="B891" s="1"/>
      <c r="E891" s="1"/>
      <c r="F891" s="1"/>
      <c r="G891" s="1"/>
    </row>
    <row r="892" spans="2:7">
      <c r="B892" s="1"/>
      <c r="E892" s="1"/>
      <c r="F892" s="1"/>
      <c r="G892" s="1"/>
    </row>
    <row r="893" spans="2:7">
      <c r="B893" s="1"/>
      <c r="E893" s="1"/>
      <c r="F893" s="1"/>
      <c r="G893" s="1"/>
    </row>
    <row r="894" spans="2:7">
      <c r="B894" s="1"/>
      <c r="E894" s="1"/>
      <c r="F894" s="1"/>
      <c r="G894" s="1"/>
    </row>
    <row r="895" spans="2:7">
      <c r="B895" s="1"/>
      <c r="E895" s="1"/>
      <c r="F895" s="1"/>
      <c r="G895" s="1"/>
    </row>
    <row r="896" spans="2:7">
      <c r="B896" s="1"/>
      <c r="E896" s="1"/>
      <c r="F896" s="1"/>
      <c r="G896" s="1"/>
    </row>
    <row r="897" spans="2:7">
      <c r="B897" s="1"/>
      <c r="E897" s="1"/>
      <c r="F897" s="1"/>
      <c r="G897" s="1"/>
    </row>
    <row r="898" spans="2:7">
      <c r="B898" s="1"/>
      <c r="E898" s="1"/>
      <c r="F898" s="1"/>
      <c r="G898" s="1"/>
    </row>
    <row r="899" spans="2:7">
      <c r="B899" s="1"/>
      <c r="E899" s="1"/>
      <c r="F899" s="1"/>
      <c r="G899" s="1"/>
    </row>
    <row r="900" spans="2:7">
      <c r="B900" s="1"/>
      <c r="E900" s="1"/>
      <c r="F900" s="1"/>
      <c r="G900" s="1"/>
    </row>
    <row r="901" spans="2:7">
      <c r="B901" s="1"/>
      <c r="E901" s="1"/>
      <c r="F901" s="1"/>
      <c r="G901" s="1"/>
    </row>
    <row r="902" spans="2:7">
      <c r="B902" s="1"/>
      <c r="E902" s="1"/>
      <c r="F902" s="1"/>
      <c r="G902" s="1"/>
    </row>
    <row r="903" spans="2:7">
      <c r="B903" s="1"/>
      <c r="E903" s="1"/>
      <c r="F903" s="1"/>
      <c r="G903" s="1"/>
    </row>
    <row r="904" spans="2:7">
      <c r="B904" s="1"/>
      <c r="E904" s="1"/>
      <c r="F904" s="1"/>
      <c r="G904" s="1"/>
    </row>
    <row r="905" spans="2:7">
      <c r="B905" s="1"/>
      <c r="E905" s="1"/>
      <c r="F905" s="1"/>
      <c r="G905" s="1"/>
    </row>
    <row r="906" spans="2:7">
      <c r="B906" s="1"/>
      <c r="E906" s="1"/>
      <c r="F906" s="1"/>
      <c r="G906" s="1"/>
    </row>
    <row r="907" spans="2:7">
      <c r="B907" s="1"/>
      <c r="E907" s="1"/>
      <c r="F907" s="1"/>
      <c r="G907" s="1"/>
    </row>
    <row r="908" spans="2:7">
      <c r="B908" s="1"/>
      <c r="E908" s="1"/>
      <c r="F908" s="1"/>
      <c r="G908" s="1"/>
    </row>
    <row r="909" spans="2:7">
      <c r="B909" s="1"/>
      <c r="E909" s="1"/>
      <c r="F909" s="1"/>
      <c r="G909" s="1"/>
    </row>
    <row r="910" spans="2:7">
      <c r="B910" s="1"/>
      <c r="E910" s="1"/>
      <c r="F910" s="1"/>
      <c r="G910" s="1"/>
    </row>
    <row r="911" spans="2:7">
      <c r="B911" s="1"/>
      <c r="E911" s="1"/>
      <c r="F911" s="1"/>
      <c r="G911" s="1"/>
    </row>
    <row r="912" spans="2:7">
      <c r="B912" s="1"/>
      <c r="E912" s="1"/>
      <c r="F912" s="1"/>
      <c r="G912" s="1"/>
    </row>
    <row r="913" spans="2:7">
      <c r="B913" s="1"/>
      <c r="E913" s="1"/>
      <c r="F913" s="1"/>
      <c r="G913" s="1"/>
    </row>
    <row r="914" spans="2:7">
      <c r="B914" s="1"/>
      <c r="E914" s="1"/>
      <c r="F914" s="1"/>
      <c r="G914" s="1"/>
    </row>
    <row r="915" spans="2:7">
      <c r="B915" s="1"/>
      <c r="E915" s="1"/>
      <c r="F915" s="1"/>
      <c r="G915" s="1"/>
    </row>
    <row r="916" spans="2:7">
      <c r="B916" s="1"/>
      <c r="E916" s="1"/>
      <c r="F916" s="1"/>
      <c r="G916" s="1"/>
    </row>
    <row r="917" spans="2:7">
      <c r="B917" s="1"/>
      <c r="E917" s="1"/>
      <c r="F917" s="1"/>
      <c r="G917" s="1"/>
    </row>
    <row r="918" spans="2:7">
      <c r="B918" s="1"/>
      <c r="E918" s="1"/>
      <c r="F918" s="1"/>
      <c r="G918" s="1"/>
    </row>
    <row r="919" spans="2:7">
      <c r="B919" s="1"/>
      <c r="E919" s="1"/>
      <c r="F919" s="1"/>
      <c r="G919" s="1"/>
    </row>
    <row r="920" spans="2:7">
      <c r="B920" s="1"/>
      <c r="E920" s="1"/>
      <c r="F920" s="1"/>
      <c r="G920" s="1"/>
    </row>
    <row r="921" spans="2:7">
      <c r="B921" s="1"/>
      <c r="E921" s="1"/>
      <c r="F921" s="1"/>
      <c r="G921" s="1"/>
    </row>
    <row r="922" spans="2:7">
      <c r="B922" s="1"/>
      <c r="E922" s="1"/>
      <c r="F922" s="1"/>
      <c r="G922" s="1"/>
    </row>
    <row r="923" spans="2:7">
      <c r="B923" s="1"/>
      <c r="E923" s="1"/>
      <c r="F923" s="1"/>
      <c r="G923" s="1"/>
    </row>
    <row r="924" spans="2:7">
      <c r="B924" s="1"/>
      <c r="E924" s="1"/>
      <c r="F924" s="1"/>
      <c r="G924" s="1"/>
    </row>
    <row r="925" spans="2:7">
      <c r="B925" s="1"/>
      <c r="E925" s="1"/>
      <c r="F925" s="1"/>
      <c r="G925" s="1"/>
    </row>
    <row r="926" spans="2:7">
      <c r="B926" s="1"/>
      <c r="E926" s="1"/>
      <c r="F926" s="1"/>
      <c r="G926" s="1"/>
    </row>
    <row r="927" spans="2:7">
      <c r="B927" s="1"/>
      <c r="E927" s="1"/>
      <c r="F927" s="1"/>
      <c r="G927" s="1"/>
    </row>
    <row r="928" spans="2:7">
      <c r="B928" s="1"/>
      <c r="E928" s="1"/>
      <c r="F928" s="1"/>
      <c r="G928" s="1"/>
    </row>
    <row r="929" spans="2:7">
      <c r="B929" s="1"/>
      <c r="E929" s="1"/>
      <c r="F929" s="1"/>
      <c r="G929" s="1"/>
    </row>
    <row r="930" spans="2:7">
      <c r="B930" s="1"/>
      <c r="E930" s="1"/>
      <c r="F930" s="1"/>
      <c r="G930" s="1"/>
    </row>
    <row r="931" spans="2:7">
      <c r="B931" s="1"/>
      <c r="E931" s="1"/>
      <c r="F931" s="1"/>
      <c r="G931" s="1"/>
    </row>
    <row r="932" spans="2:7">
      <c r="B932" s="1"/>
      <c r="E932" s="1"/>
      <c r="F932" s="1"/>
      <c r="G932" s="1"/>
    </row>
    <row r="933" spans="2:7">
      <c r="B933" s="1"/>
      <c r="E933" s="1"/>
      <c r="F933" s="1"/>
      <c r="G933" s="1"/>
    </row>
    <row r="934" spans="2:7">
      <c r="B934" s="1"/>
      <c r="E934" s="1"/>
      <c r="F934" s="1"/>
      <c r="G934" s="1"/>
    </row>
    <row r="935" spans="2:7">
      <c r="B935" s="1"/>
      <c r="E935" s="1"/>
      <c r="F935" s="1"/>
      <c r="G935" s="1"/>
    </row>
    <row r="936" spans="2:7">
      <c r="B936" s="1"/>
      <c r="E936" s="1"/>
      <c r="F936" s="1"/>
      <c r="G936" s="1"/>
    </row>
    <row r="937" spans="2:7">
      <c r="B937" s="1"/>
      <c r="E937" s="1"/>
      <c r="F937" s="1"/>
      <c r="G937" s="1"/>
    </row>
    <row r="938" spans="2:7">
      <c r="B938" s="1"/>
      <c r="E938" s="1"/>
      <c r="F938" s="1"/>
      <c r="G938" s="1"/>
    </row>
    <row r="939" spans="2:7">
      <c r="B939" s="1"/>
      <c r="E939" s="1"/>
      <c r="F939" s="1"/>
      <c r="G939" s="1"/>
    </row>
    <row r="940" spans="2:7">
      <c r="B940" s="1"/>
      <c r="E940" s="1"/>
      <c r="F940" s="1"/>
      <c r="G940" s="1"/>
    </row>
    <row r="941" spans="2:7">
      <c r="B941" s="1"/>
      <c r="E941" s="1"/>
      <c r="F941" s="1"/>
      <c r="G941" s="1"/>
    </row>
    <row r="942" spans="2:7">
      <c r="B942" s="1"/>
      <c r="E942" s="1"/>
      <c r="F942" s="1"/>
      <c r="G942" s="1"/>
    </row>
    <row r="943" spans="2:7">
      <c r="B943" s="1"/>
      <c r="E943" s="1"/>
      <c r="F943" s="1"/>
      <c r="G943" s="1"/>
    </row>
    <row r="944" spans="2:7">
      <c r="B944" s="1"/>
      <c r="E944" s="1"/>
      <c r="F944" s="1"/>
      <c r="G944" s="1"/>
    </row>
    <row r="945" spans="2:7">
      <c r="B945" s="1"/>
      <c r="E945" s="1"/>
      <c r="F945" s="1"/>
      <c r="G945" s="1"/>
    </row>
    <row r="946" spans="2:7">
      <c r="B946" s="1"/>
      <c r="E946" s="1"/>
      <c r="F946" s="1"/>
      <c r="G946" s="1"/>
    </row>
    <row r="947" spans="2:7">
      <c r="B947" s="1"/>
      <c r="E947" s="1"/>
      <c r="F947" s="1"/>
      <c r="G947" s="1"/>
    </row>
    <row r="948" spans="2:7">
      <c r="B948" s="1"/>
      <c r="E948" s="1"/>
      <c r="F948" s="1"/>
      <c r="G948" s="1"/>
    </row>
    <row r="949" spans="2:7">
      <c r="B949" s="1"/>
      <c r="E949" s="1"/>
      <c r="F949" s="1"/>
      <c r="G949" s="1"/>
    </row>
    <row r="950" spans="2:7">
      <c r="B950" s="1"/>
      <c r="E950" s="1"/>
      <c r="F950" s="1"/>
      <c r="G950" s="1"/>
    </row>
    <row r="951" spans="2:7">
      <c r="B951" s="1"/>
      <c r="E951" s="1"/>
      <c r="F951" s="1"/>
      <c r="G951" s="1"/>
    </row>
    <row r="952" spans="2:7">
      <c r="B952" s="1"/>
      <c r="E952" s="1"/>
      <c r="F952" s="1"/>
      <c r="G952" s="1"/>
    </row>
    <row r="953" spans="2:7">
      <c r="B953" s="1"/>
      <c r="E953" s="1"/>
      <c r="F953" s="1"/>
      <c r="G953" s="1"/>
    </row>
    <row r="954" spans="2:7">
      <c r="B954" s="1"/>
      <c r="E954" s="1"/>
      <c r="F954" s="1"/>
      <c r="G954" s="1"/>
    </row>
    <row r="955" spans="2:7">
      <c r="B955" s="1"/>
      <c r="E955" s="1"/>
      <c r="F955" s="1"/>
      <c r="G955" s="1"/>
    </row>
    <row r="956" spans="2:7">
      <c r="B956" s="1"/>
      <c r="E956" s="1"/>
      <c r="F956" s="1"/>
      <c r="G956" s="1"/>
    </row>
    <row r="957" spans="2:7">
      <c r="B957" s="1"/>
      <c r="E957" s="1"/>
      <c r="F957" s="1"/>
      <c r="G957" s="1"/>
    </row>
    <row r="958" spans="2:7">
      <c r="B958" s="1"/>
      <c r="E958" s="1"/>
      <c r="F958" s="1"/>
      <c r="G958" s="1"/>
    </row>
    <row r="959" spans="2:7">
      <c r="B959" s="1"/>
      <c r="E959" s="1"/>
      <c r="F959" s="1"/>
      <c r="G959" s="1"/>
    </row>
    <row r="960" spans="2:7">
      <c r="B960" s="1"/>
      <c r="E960" s="1"/>
      <c r="F960" s="1"/>
      <c r="G960" s="1"/>
    </row>
    <row r="961" spans="2:7">
      <c r="B961" s="1"/>
      <c r="E961" s="1"/>
      <c r="F961" s="1"/>
      <c r="G961" s="1"/>
    </row>
    <row r="962" spans="2:7">
      <c r="B962" s="1"/>
      <c r="E962" s="1"/>
      <c r="F962" s="1"/>
      <c r="G962" s="1"/>
    </row>
    <row r="963" spans="2:7">
      <c r="B963" s="1"/>
      <c r="E963" s="1"/>
      <c r="F963" s="1"/>
      <c r="G963" s="1"/>
    </row>
    <row r="964" spans="2:7">
      <c r="B964" s="1"/>
      <c r="E964" s="1"/>
      <c r="F964" s="1"/>
      <c r="G964" s="1"/>
    </row>
    <row r="965" spans="2:7">
      <c r="B965" s="1"/>
      <c r="E965" s="1"/>
      <c r="F965" s="1"/>
      <c r="G965" s="1"/>
    </row>
    <row r="966" spans="2:7">
      <c r="B966" s="1"/>
      <c r="E966" s="1"/>
      <c r="F966" s="1"/>
      <c r="G966" s="1"/>
    </row>
    <row r="967" spans="2:7">
      <c r="B967" s="1"/>
      <c r="E967" s="1"/>
      <c r="F967" s="1"/>
      <c r="G967" s="1"/>
    </row>
    <row r="968" spans="2:7">
      <c r="B968" s="1"/>
      <c r="E968" s="1"/>
      <c r="F968" s="1"/>
      <c r="G968" s="1"/>
    </row>
    <row r="969" spans="2:7">
      <c r="B969" s="1"/>
      <c r="E969" s="1"/>
      <c r="F969" s="1"/>
      <c r="G969" s="1"/>
    </row>
    <row r="970" spans="2:7">
      <c r="B970" s="1"/>
      <c r="E970" s="1"/>
      <c r="F970" s="1"/>
      <c r="G970" s="1"/>
    </row>
    <row r="971" spans="2:7">
      <c r="B971" s="1"/>
      <c r="E971" s="1"/>
      <c r="F971" s="1"/>
      <c r="G971" s="1"/>
    </row>
    <row r="972" spans="2:7">
      <c r="B972" s="1"/>
      <c r="E972" s="1"/>
      <c r="F972" s="1"/>
      <c r="G972" s="1"/>
    </row>
    <row r="973" spans="2:7">
      <c r="B973" s="1"/>
      <c r="E973" s="1"/>
      <c r="F973" s="1"/>
      <c r="G973" s="1"/>
    </row>
    <row r="974" spans="2:7">
      <c r="B974" s="1"/>
      <c r="E974" s="1"/>
      <c r="F974" s="1"/>
      <c r="G974" s="1"/>
    </row>
    <row r="975" spans="2:7">
      <c r="B975" s="1"/>
      <c r="E975" s="1"/>
      <c r="F975" s="1"/>
      <c r="G975" s="1"/>
    </row>
    <row r="976" spans="2:7">
      <c r="B976" s="1"/>
      <c r="E976" s="1"/>
      <c r="F976" s="1"/>
      <c r="G976" s="1"/>
    </row>
    <row r="977" spans="2:7">
      <c r="B977" s="1"/>
      <c r="E977" s="1"/>
      <c r="F977" s="1"/>
      <c r="G977" s="1"/>
    </row>
    <row r="978" spans="2:7">
      <c r="B978" s="1"/>
      <c r="E978" s="1"/>
      <c r="F978" s="1"/>
      <c r="G978" s="1"/>
    </row>
    <row r="979" spans="2:7">
      <c r="B979" s="1"/>
      <c r="E979" s="1"/>
      <c r="F979" s="1"/>
      <c r="G979" s="1"/>
    </row>
    <row r="980" spans="2:7">
      <c r="B980" s="1"/>
      <c r="E980" s="1"/>
      <c r="F980" s="1"/>
      <c r="G980" s="1"/>
    </row>
    <row r="981" spans="2:7">
      <c r="B981" s="1"/>
      <c r="E981" s="1"/>
      <c r="F981" s="1"/>
      <c r="G981" s="1"/>
    </row>
    <row r="982" spans="2:7">
      <c r="B982" s="1"/>
      <c r="E982" s="1"/>
      <c r="F982" s="1"/>
      <c r="G982" s="1"/>
    </row>
    <row r="983" spans="2:7">
      <c r="B983" s="1"/>
      <c r="E983" s="1"/>
      <c r="F983" s="1"/>
      <c r="G983" s="1"/>
    </row>
    <row r="984" spans="2:7">
      <c r="B984" s="1"/>
      <c r="E984" s="1"/>
      <c r="F984" s="1"/>
      <c r="G984" s="1"/>
    </row>
    <row r="985" spans="2:7">
      <c r="B985" s="1"/>
      <c r="E985" s="1"/>
      <c r="F985" s="1"/>
      <c r="G985" s="1"/>
    </row>
    <row r="986" spans="2:7">
      <c r="B986" s="1"/>
      <c r="E986" s="1"/>
      <c r="F986" s="1"/>
      <c r="G986" s="1"/>
    </row>
    <row r="987" spans="2:7">
      <c r="B987" s="1"/>
      <c r="E987" s="1"/>
      <c r="F987" s="1"/>
      <c r="G987" s="1"/>
    </row>
    <row r="988" spans="2:7">
      <c r="B988" s="1"/>
      <c r="E988" s="1"/>
      <c r="F988" s="1"/>
      <c r="G988" s="1"/>
    </row>
    <row r="989" spans="2:7">
      <c r="B989" s="1"/>
      <c r="E989" s="1"/>
      <c r="F989" s="1"/>
      <c r="G989" s="1"/>
    </row>
    <row r="990" spans="2:7">
      <c r="B990" s="1"/>
      <c r="E990" s="1"/>
      <c r="F990" s="1"/>
      <c r="G990" s="1"/>
    </row>
    <row r="991" spans="2:7">
      <c r="B991" s="1"/>
      <c r="E991" s="1"/>
      <c r="F991" s="1"/>
      <c r="G991" s="1"/>
    </row>
    <row r="992" spans="2:7">
      <c r="B992" s="1"/>
      <c r="E992" s="1"/>
      <c r="F992" s="1"/>
      <c r="G992" s="1"/>
    </row>
    <row r="993" spans="2:7">
      <c r="B993" s="1"/>
      <c r="E993" s="1"/>
      <c r="F993" s="1"/>
      <c r="G993" s="1"/>
    </row>
    <row r="994" spans="2:7">
      <c r="B994" s="1"/>
      <c r="E994" s="1"/>
      <c r="F994" s="1"/>
      <c r="G994" s="1"/>
    </row>
    <row r="995" spans="2:7">
      <c r="B995" s="1"/>
      <c r="E995" s="1"/>
      <c r="F995" s="1"/>
      <c r="G995" s="1"/>
    </row>
    <row r="996" spans="2:7">
      <c r="B996" s="1"/>
      <c r="E996" s="1"/>
      <c r="F996" s="1"/>
      <c r="G996" s="1"/>
    </row>
    <row r="997" spans="2:7">
      <c r="B997" s="1"/>
      <c r="E997" s="1"/>
      <c r="F997" s="1"/>
      <c r="G997" s="1"/>
    </row>
    <row r="998" spans="2:7">
      <c r="B998" s="1"/>
      <c r="E998" s="1"/>
      <c r="F998" s="1"/>
      <c r="G998" s="1"/>
    </row>
    <row r="999" spans="2:7">
      <c r="B999" s="1"/>
      <c r="E999" s="1"/>
      <c r="F999" s="1"/>
      <c r="G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Tabla_records</vt:lpstr>
      <vt:lpstr>Competición más reciente</vt:lpstr>
      <vt:lpstr>Última carrera por temporada</vt:lpstr>
      <vt:lpstr>Letra Inicial</vt:lpstr>
      <vt:lpstr>Pistas</vt:lpstr>
      <vt:lpstr>Categorías_SP</vt:lpstr>
      <vt:lpstr>Categorías</vt:lpstr>
      <vt:lpstr>Distancias</vt:lpstr>
      <vt:lpstr>Edades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Morán</dc:creator>
  <cp:lastModifiedBy>Juan José Morán</cp:lastModifiedBy>
  <dcterms:created xsi:type="dcterms:W3CDTF">2026-10-10T09:17:34Z</dcterms:created>
  <dcterms:modified xsi:type="dcterms:W3CDTF">2026-10-10T09:17:34Z</dcterms:modified>
</cp:coreProperties>
</file>